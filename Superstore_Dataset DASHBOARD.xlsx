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E7A2B7F6-EBEB-4412-8B72-846396CADFF4}" xr6:coauthVersionLast="47" xr6:coauthVersionMax="47" xr10:uidLastSave="{00000000-0000-0000-0000-000000000000}"/>
  <bookViews>
    <workbookView xWindow="0" yWindow="360" windowWidth="20730" windowHeight="11040" xr2:uid="{00000000-000D-0000-FFFF-FFFF00000000}"/>
  </bookViews>
  <sheets>
    <sheet name="Sheet1" sheetId="6" r:id="rId1"/>
    <sheet name="PIVOT TABLE" sheetId="5" r:id="rId2"/>
    <sheet name="Superstore_Dataset" sheetId="1" r:id="rId3"/>
  </sheets>
  <definedNames>
    <definedName name="Slicer_Category">#N/A</definedName>
    <definedName name="Slicer_Customer_Segment">#N/A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5" l="1"/>
  <c r="R9" i="5"/>
  <c r="R3" i="5"/>
</calcChain>
</file>

<file path=xl/sharedStrings.xml><?xml version="1.0" encoding="utf-8"?>
<sst xmlns="http://schemas.openxmlformats.org/spreadsheetml/2006/main" count="1899" uniqueCount="356">
  <si>
    <t>Order ID</t>
  </si>
  <si>
    <t>Order Date</t>
  </si>
  <si>
    <t>Ship Date</t>
  </si>
  <si>
    <t>Region</t>
  </si>
  <si>
    <t>State</t>
  </si>
  <si>
    <t>Category</t>
  </si>
  <si>
    <t>Sub-Category</t>
  </si>
  <si>
    <t>Customer Segment</t>
  </si>
  <si>
    <t>Sales</t>
  </si>
  <si>
    <t>Quantity</t>
  </si>
  <si>
    <t>Discount</t>
  </si>
  <si>
    <t>Profit</t>
  </si>
  <si>
    <t>ORD-1001</t>
  </si>
  <si>
    <t>West</t>
  </si>
  <si>
    <t>California</t>
  </si>
  <si>
    <t>Office Supplies</t>
  </si>
  <si>
    <t>Paper</t>
  </si>
  <si>
    <t>Home Office</t>
  </si>
  <si>
    <t>ORD-1002</t>
  </si>
  <si>
    <t>East</t>
  </si>
  <si>
    <t>New York</t>
  </si>
  <si>
    <t>Storage</t>
  </si>
  <si>
    <t>Corporate</t>
  </si>
  <si>
    <t>ORD-1003</t>
  </si>
  <si>
    <t>Illinois</t>
  </si>
  <si>
    <t>Binders</t>
  </si>
  <si>
    <t>ORD-1004</t>
  </si>
  <si>
    <t>Central</t>
  </si>
  <si>
    <t>Florida</t>
  </si>
  <si>
    <t>ORD-1005</t>
  </si>
  <si>
    <t>South</t>
  </si>
  <si>
    <t>ORD-1006</t>
  </si>
  <si>
    <t>Technology</t>
  </si>
  <si>
    <t>Accessories</t>
  </si>
  <si>
    <t>ORD-1007</t>
  </si>
  <si>
    <t>Furniture</t>
  </si>
  <si>
    <t>Tables</t>
  </si>
  <si>
    <t>ORD-1008</t>
  </si>
  <si>
    <t>ORD-1009</t>
  </si>
  <si>
    <t>Phones</t>
  </si>
  <si>
    <t>Consumer</t>
  </si>
  <si>
    <t>ORD-1010</t>
  </si>
  <si>
    <t>ORD-1011</t>
  </si>
  <si>
    <t>Texas</t>
  </si>
  <si>
    <t>ORD-1012</t>
  </si>
  <si>
    <t>ORD-1013</t>
  </si>
  <si>
    <t>Chairs</t>
  </si>
  <si>
    <t>ORD-1014</t>
  </si>
  <si>
    <t>ORD-1015</t>
  </si>
  <si>
    <t>Washington</t>
  </si>
  <si>
    <t>ORD-1016</t>
  </si>
  <si>
    <t>ORD-1017</t>
  </si>
  <si>
    <t>ORD-1018</t>
  </si>
  <si>
    <t>Copiers</t>
  </si>
  <si>
    <t>ORD-1019</t>
  </si>
  <si>
    <t>ORD-1020</t>
  </si>
  <si>
    <t>ORD-1021</t>
  </si>
  <si>
    <t>ORD-1022</t>
  </si>
  <si>
    <t>ORD-1023</t>
  </si>
  <si>
    <t>ORD-1024</t>
  </si>
  <si>
    <t>ORD-1025</t>
  </si>
  <si>
    <t>ORD-1026</t>
  </si>
  <si>
    <t>Bookcases</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</si>
  <si>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</si>
  <si>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</si>
  <si>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</si>
  <si>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</si>
  <si>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</si>
  <si>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</si>
  <si>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</si>
  <si>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</si>
  <si>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</si>
  <si>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</si>
  <si>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</si>
  <si>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</si>
  <si>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</si>
  <si>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</si>
  <si>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</si>
  <si>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</si>
  <si>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</si>
  <si>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</si>
  <si>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</si>
  <si>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</si>
  <si>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</si>
  <si>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</si>
  <si>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</si>
  <si>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</si>
  <si>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</si>
  <si>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</si>
  <si>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</si>
  <si>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</si>
  <si>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</si>
  <si>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</si>
  <si>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</si>
  <si>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</si>
  <si>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</si>
  <si>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</si>
  <si>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</si>
  <si>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</si>
  <si>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</si>
  <si>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</si>
  <si>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</si>
  <si>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</si>
  <si>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</si>
  <si>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</si>
  <si>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</si>
  <si>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</si>
  <si>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</si>
  <si>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</si>
  <si>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</si>
  <si>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</si>
  <si>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</si>
  <si>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</si>
  <si>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</si>
  <si>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</si>
  <si>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</si>
  <si>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</si>
  <si>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</si>
  <si>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</si>
  <si>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</si>
  <si>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</si>
  <si>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</si>
  <si>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</si>
  <si>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</si>
  <si>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</si>
  <si>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</si>
  <si>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</si>
  <si>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</si>
  <si>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</si>
  <si>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</si>
  <si>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</si>
  <si>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</si>
  <si>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</si>
  <si>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</si>
  <si>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</si>
  <si>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</si>
  <si>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</si>
  <si>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</si>
  <si>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</si>
  <si>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</si>
  <si>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</si>
  <si>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</si>
  <si>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</si>
  <si>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</si>
  <si>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</si>
  <si>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</si>
  <si>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</si>
  <si>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</si>
  <si>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</si>
  <si>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</si>
  <si>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</si>
  <si>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</si>
  <si>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</si>
  <si>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</si>
  <si>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</si>
  <si>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</si>
  <si>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</si>
  <si>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</si>
  <si>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</si>
  <si>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</si>
  <si>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</si>
  <si>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</si>
  <si>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</si>
  <si>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</si>
  <si>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</si>
  <si>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</si>
  <si>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</si>
  <si>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</si>
  <si>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</si>
  <si>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</si>
  <si>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</si>
  <si>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</si>
  <si>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</si>
  <si>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</si>
  <si>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</si>
  <si>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</si>
  <si>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</si>
  <si>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</si>
  <si>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</si>
  <si>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</si>
  <si>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</si>
  <si>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</si>
  <si>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</si>
  <si>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</si>
  <si>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</si>
  <si>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</si>
  <si>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</si>
  <si>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</si>
  <si>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</si>
  <si>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</si>
  <si>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</si>
  <si>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</si>
  <si>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</si>
  <si>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</si>
  <si>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</si>
  <si>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</si>
  <si>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</si>
  <si>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</si>
  <si>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</si>
  <si>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</si>
  <si>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</si>
  <si>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</si>
  <si>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</si>
  <si>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</si>
  <si>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</si>
  <si>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</si>
  <si>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</si>
  <si>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</si>
  <si>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</si>
  <si>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</si>
  <si>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</si>
  <si>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</si>
  <si>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</si>
  <si>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</si>
  <si>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</si>
  <si>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</si>
  <si>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</si>
  <si>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</si>
  <si>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</si>
  <si>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</si>
  <si>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</si>
  <si>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</si>
  <si>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</si>
  <si>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</si>
  <si>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</si>
  <si>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</si>
  <si>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</si>
  <si>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</si>
  <si>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</si>
  <si>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</si>
  <si>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</si>
  <si>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</si>
  <si>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</si>
  <si>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</si>
  <si>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</si>
  <si>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</si>
  <si>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</si>
  <si>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</si>
  <si>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</si>
  <si>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</si>
  <si>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</si>
  <si>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</si>
  <si>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</si>
  <si>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</si>
  <si>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</si>
  <si>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</si>
  <si>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</si>
  <si>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</si>
  <si>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</si>
  <si>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</si>
  <si>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</si>
  <si>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</si>
  <si>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</si>
  <si>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</si>
  <si>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</si>
  <si>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</si>
  <si>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</si>
  <si>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</si>
  <si>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</si>
  <si>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</si>
  <si>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</si>
  <si>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</si>
  <si>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</si>
  <si>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</si>
  <si>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</si>
  <si>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</si>
  <si>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</si>
  <si>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</si>
  <si>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</si>
  <si>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</si>
  <si>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</si>
  <si>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</si>
  <si>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</si>
  <si>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</si>
  <si>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</si>
  <si>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</si>
  <si>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</si>
  <si>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</si>
  <si>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</si>
  <si>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</si>
  <si>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</si>
  <si>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</si>
  <si>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</si>
  <si>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</si>
  <si>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</si>
  <si>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</si>
  <si>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</si>
  <si>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</si>
  <si>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</si>
  <si>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</si>
  <si>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</si>
  <si>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</si>
  <si>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</si>
  <si>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</si>
  <si>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</si>
  <si>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</si>
  <si>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</si>
  <si>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</si>
  <si>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</si>
  <si>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</si>
  <si>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</si>
  <si>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</si>
  <si>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</si>
  <si>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</si>
  <si>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</si>
  <si>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</si>
  <si>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</si>
  <si>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</si>
  <si>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</si>
  <si>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</si>
  <si>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</si>
  <si>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</si>
  <si>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</si>
  <si>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</si>
  <si>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</si>
  <si>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</si>
  <si>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</si>
  <si>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</si>
  <si>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</si>
  <si>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</si>
  <si>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</si>
  <si>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</si>
  <si>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</si>
  <si>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</si>
  <si>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</si>
  <si>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</si>
  <si>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</si>
  <si>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</si>
  <si>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</si>
  <si>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</si>
  <si>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</si>
  <si>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</si>
  <si>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</si>
  <si>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</si>
  <si>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</si>
  <si>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</si>
  <si>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</si>
  <si>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Row Labels</t>
  </si>
  <si>
    <t>Grand Total</t>
  </si>
  <si>
    <t>Sum of Sales</t>
  </si>
  <si>
    <t>Sum of Profit</t>
  </si>
  <si>
    <t>Jan</t>
  </si>
  <si>
    <t>Feb</t>
  </si>
  <si>
    <t>Mar</t>
  </si>
  <si>
    <t>Apr</t>
  </si>
  <si>
    <t>May</t>
  </si>
  <si>
    <t>Jun</t>
  </si>
  <si>
    <t>Jul</t>
  </si>
  <si>
    <t>Aug</t>
  </si>
  <si>
    <t>Sep</t>
  </si>
  <si>
    <t>Oct</t>
  </si>
  <si>
    <t>Nov</t>
  </si>
  <si>
    <t>Dec</t>
  </si>
  <si>
    <t>Column Labels</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</si>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</sst>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quot;₹&quot;\ #,##0.00"/>
    <numFmt numFmtId="165" formatCode="_-[$$-409]* #,##0.00_ ;_-[$$-409]* \-#,##0.00\ ;_-[$$-409]* &quot;-&quot;??_ ;_-@_ "/>
    <numFmt numFmtId="166" formatCode="[$$-409]#,##0.00"/>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8">
    <xf numFmtId="0" fontId="0" fillId="0" borderId="0" xfId="0"/>
    <xf numFmtId="49" fontId="1" fillId="0" borderId="0" xfId="0" applyNumberFormat="1" applyFont="1"/>
    <xf numFmtId="49" fontId="0" fillId="0" borderId="0" xfId="0" applyNumberFormat="1"/>
    <xf numFmtId="14" fontId="1" fillId="0" borderId="0" xfId="0" applyNumberFormat="1" applyFont="1"/>
    <xf numFmtId="14" fontId="0" fillId="0" borderId="0" xfId="0" applyNumberFormat="1"/>
    <xf numFmtId="164" fontId="0" fillId="0" borderId="0" xfId="0" applyNumberFormat="1"/>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1" fillId="0" borderId="0" xfId="1" applyNumberFormat="1" applyFont="1"/>
    <xf numFmtId="165" fontId="0" fillId="0" borderId="0" xfId="0" applyNumberFormat="1"/>
    <xf numFmtId="165" fontId="0" fillId="0" borderId="0" xfId="1" applyNumberFormat="1" applyFont="1"/>
    <xf numFmtId="166" fontId="0" fillId="0" borderId="0" xfId="0" applyNumberFormat="1"/>
    <xf numFmtId="0" fontId="0" fillId="0" borderId="0" xfId="0" applyNumberFormat="1"/>
  </cellXfs>
  <cellStyles count="2">
    <cellStyle name="Currency" xfId="1" builtinId="4"/>
    <cellStyle name="Normal" xfId="0" builtinId="0"/>
  </cellStyles>
  <dxfs count="18">
    <dxf>
      <font>
        <sz val="16"/>
        <color theme="1"/>
      </font>
      <border>
        <bottom style="thin">
          <color theme="9"/>
        </bottom>
        <vertical/>
        <horizontal/>
      </border>
    </dxf>
    <dxf>
      <font>
        <sz val="20"/>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b/>
        <i val="0"/>
        <sz val="16"/>
        <color theme="1"/>
      </font>
      <border>
        <left style="thin">
          <color theme="9"/>
        </left>
        <right style="thin">
          <color theme="9"/>
        </right>
        <top style="thin">
          <color theme="9"/>
        </top>
        <bottom style="thin">
          <color theme="9"/>
        </bottom>
        <vertical/>
        <horizontal/>
      </border>
    </dxf>
    <dxf>
      <numFmt numFmtId="2" formatCode="0.00"/>
    </dxf>
    <dxf>
      <numFmt numFmtId="2" formatCode="0.00"/>
    </dxf>
    <dxf>
      <numFmt numFmtId="1" formatCode="0"/>
    </dxf>
    <dxf>
      <numFmt numFmtId="164" formatCode="&quot;₹&quot;\ #,##0.00"/>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numFmt numFmtId="30" formatCode="@"/>
    </dxf>
    <dxf>
      <numFmt numFmtId="165" formatCode="_-[$$-409]* #,##0.00_ ;_-[$$-409]* \-#,##0.00\ ;_-[$$-409]* &quot;-&quot;??_ ;_-@_ "/>
    </dxf>
    <dxf>
      <numFmt numFmtId="165" formatCode="_-[$$-409]* #,##0.00_ ;_-[$$-409]* \-#,##0.00\ ;_-[$$-409]* &quot;-&quot;??_ ;_-@_ "/>
    </dxf>
  </dxfs>
  <tableStyles count="2" defaultTableStyle="TableStyleMedium9" defaultPivotStyle="PivotStyleLight16">
    <tableStyle name="SlicerStyleDark6 2" pivot="0" table="0" count="10" xr9:uid="{B4EF450A-A8C3-4264-913D-42DA5EDC8567}">
      <tableStyleElement type="wholeTable" dxfId="1"/>
      <tableStyleElement type="headerRow" dxfId="0"/>
    </tableStyle>
    <tableStyle name="SlicerStyleDark6 3" pivot="0" table="0" count="10" xr9:uid="{C66C1C9E-538E-4446-9913-566D50B4DC71}">
      <tableStyleElement type="wholeTable" dxfId="3"/>
      <tableStyleElement type="headerRow" dxfId="2"/>
    </tableStyle>
  </tableStyles>
  <colors>
    <mruColors>
      <color rgb="FFFF996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6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[Superstore_Dataset DASHBOARD(24SBDS044).xlsx]PIVOT TABLE!PivotTable5</c:name>
    <c:fmtId val="20"/>
  </c:pivotSource>
  <c:chart>
    <c:title>
      <c:tx>
        <c:rich>
          <a:bodyPr rot="0" spcFirstLastPara="1" vertOverflow="ellipsis" vert="horz" wrap="square" anchor="ctr" anchorCtr="1"/>
          <a:lstStyle/>
          <a:p>
            <a:pPr>
              <a:defRPr sz="1920" b="1" i="0" u="none" strike="noStrike" kern="1200" baseline="0">
                <a:solidFill>
                  <a:sysClr val="windowText" lastClr="000000"/>
                </a:solidFill>
                <a:latin typeface="+mn-lt"/>
                <a:ea typeface="+mn-ea"/>
                <a:cs typeface="+mn-cs"/>
              </a:defRPr>
            </a:pPr>
            <a:r>
              <a:rPr lang="en-IN"/>
              <a:t>Sales Vs Profit Over Time</a:t>
            </a:r>
          </a:p>
        </c:rich>
      </c:tx>
      <c:overlay val="0"/>
      <c:spPr>
        <a:noFill/>
        <a:ln>
          <a:noFill/>
        </a:ln>
        <a:effectLst/>
      </c:spPr>
      <c:txPr>
        <a:bodyPr rot="0" spcFirstLastPara="1" vertOverflow="ellipsis" vert="horz" wrap="square" anchor="ctr" anchorCtr="1"/>
        <a:lstStyle/>
        <a:p>
          <a:pPr>
            <a:defRPr sz="192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c:f>
              <c:strCache>
                <c:ptCount val="1"/>
                <c:pt idx="0">
                  <c:v>Sum of Sales</c:v>
                </c:pt>
              </c:strCache>
            </c:strRef>
          </c:tx>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TABLE'!$H$3:$H$15</c:f>
              <c:numCache>
                <c:formatCode>[$$-409]#,##0.00</c:formatCode>
                <c:ptCount val="12"/>
                <c:pt idx="0">
                  <c:v>12298.050000000001</c:v>
                </c:pt>
                <c:pt idx="1">
                  <c:v>15875.040000000003</c:v>
                </c:pt>
                <c:pt idx="2">
                  <c:v>12650.87</c:v>
                </c:pt>
                <c:pt idx="3">
                  <c:v>10977.639999999998</c:v>
                </c:pt>
                <c:pt idx="4">
                  <c:v>11349.5</c:v>
                </c:pt>
                <c:pt idx="5">
                  <c:v>15537.800000000003</c:v>
                </c:pt>
                <c:pt idx="6">
                  <c:v>18710.439999999999</c:v>
                </c:pt>
                <c:pt idx="7">
                  <c:v>12028.529999999999</c:v>
                </c:pt>
                <c:pt idx="8">
                  <c:v>9634.1400000000012</c:v>
                </c:pt>
                <c:pt idx="9">
                  <c:v>9264.1</c:v>
                </c:pt>
                <c:pt idx="10">
                  <c:v>14443.390000000003</c:v>
                </c:pt>
                <c:pt idx="11">
                  <c:v>12505.17</c:v>
                </c:pt>
              </c:numCache>
            </c:numRef>
          </c:val>
          <c:extLst>
            <c:ext xmlns:c16="http://schemas.microsoft.com/office/drawing/2014/chart" uri="{C3380CC4-5D6E-409C-BE32-E72D297353CC}">
              <c16:uniqueId val="{00000000-E210-4DC6-8656-EF94AFE890E8}"/>
            </c:ext>
          </c:extLst>
        </c:ser>
        <c:dLbls>
          <c:showLegendKey val="0"/>
          <c:showVal val="1"/>
          <c:showCatName val="0"/>
          <c:showSerName val="0"/>
          <c:showPercent val="0"/>
          <c:showBubbleSize val="0"/>
        </c:dLbls>
        <c:gapWidth val="219"/>
        <c:overlap val="-27"/>
        <c:axId val="1723597407"/>
        <c:axId val="1723598367"/>
      </c:barChart>
      <c:lineChart>
        <c:grouping val="standard"/>
        <c:varyColors val="0"/>
        <c:ser>
          <c:idx val="1"/>
          <c:order val="1"/>
          <c:tx>
            <c:strRef>
              <c:f>'PIVOT TABLE'!$I$2</c:f>
              <c:strCache>
                <c:ptCount val="1"/>
                <c:pt idx="0">
                  <c:v>Sum of Profit</c:v>
                </c:pt>
              </c:strCache>
            </c:strRef>
          </c:tx>
          <c:spPr>
            <a:ln w="31750" cap="rnd">
              <a:solidFill>
                <a:schemeClr val="accent6">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6">
                    <a:tint val="77000"/>
                  </a:schemeClr>
                </a:solidFill>
                <a:prstDash val="sysDash"/>
              </a:ln>
              <a:effectLst/>
            </c:spPr>
            <c:trendlineType val="linear"/>
            <c:dispRSqr val="0"/>
            <c:dispEq val="0"/>
          </c:trendline>
          <c:cat>
            <c:strRef>
              <c:f>'PIVOT TABLE'!$G$3:$G$15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TABLE'!$I$3:$I$15</c:f>
              <c:numCache>
                <c:formatCode>[$$-409]#,##0.00</c:formatCode>
                <c:ptCount val="12"/>
                <c:pt idx="0">
                  <c:v>659.49000000000012</c:v>
                </c:pt>
                <c:pt idx="1">
                  <c:v>291.11</c:v>
                </c:pt>
                <c:pt idx="2">
                  <c:v>863.84999999999991</c:v>
                </c:pt>
                <c:pt idx="3">
                  <c:v>153.51000000000002</c:v>
                </c:pt>
                <c:pt idx="4">
                  <c:v>296.92</c:v>
                </c:pt>
                <c:pt idx="5">
                  <c:v>1009.27</c:v>
                </c:pt>
                <c:pt idx="6">
                  <c:v>976.44</c:v>
                </c:pt>
                <c:pt idx="7">
                  <c:v>801.52999999999986</c:v>
                </c:pt>
                <c:pt idx="8">
                  <c:v>443.28</c:v>
                </c:pt>
                <c:pt idx="9">
                  <c:v>519.53</c:v>
                </c:pt>
                <c:pt idx="10">
                  <c:v>412.01</c:v>
                </c:pt>
                <c:pt idx="11">
                  <c:v>260.97000000000003</c:v>
                </c:pt>
              </c:numCache>
            </c:numRef>
          </c:val>
          <c:smooth val="0"/>
          <c:extLst>
            <c:ext xmlns:c16="http://schemas.microsoft.com/office/drawing/2014/chart" uri="{C3380CC4-5D6E-409C-BE32-E72D297353CC}">
              <c16:uniqueId val="{00000002-E210-4DC6-8656-EF94AFE890E8}"/>
            </c:ext>
          </c:extLst>
        </c:ser>
        <c:dLbls>
          <c:showLegendKey val="0"/>
          <c:showVal val="1"/>
          <c:showCatName val="0"/>
          <c:showSerName val="0"/>
          <c:showPercent val="0"/>
          <c:showBubbleSize val="0"/>
        </c:dLbls>
        <c:marker val="1"/>
        <c:smooth val="0"/>
        <c:axId val="1833321951"/>
        <c:axId val="1833320991"/>
      </c:lineChart>
      <c:catAx>
        <c:axId val="17235974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1723598367"/>
        <c:crosses val="autoZero"/>
        <c:auto val="1"/>
        <c:lblAlgn val="ctr"/>
        <c:lblOffset val="100"/>
        <c:noMultiLvlLbl val="0"/>
      </c:catAx>
      <c:valAx>
        <c:axId val="1723598367"/>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1723597407"/>
        <c:crosses val="autoZero"/>
        <c:crossBetween val="between"/>
      </c:valAx>
      <c:valAx>
        <c:axId val="1833320991"/>
        <c:scaling>
          <c:orientation val="minMax"/>
        </c:scaling>
        <c:delete val="0"/>
        <c:axPos val="r"/>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1833321951"/>
        <c:crosses val="max"/>
        <c:crossBetween val="between"/>
      </c:valAx>
      <c:catAx>
        <c:axId val="1833321951"/>
        <c:scaling>
          <c:orientation val="minMax"/>
        </c:scaling>
        <c:delete val="1"/>
        <c:axPos val="b"/>
        <c:numFmt formatCode="General" sourceLinked="1"/>
        <c:majorTickMark val="none"/>
        <c:minorTickMark val="none"/>
        <c:tickLblPos val="nextTo"/>
        <c:crossAx val="18333209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sz="16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[Superstore_Dataset DASHBOARD(24SBDS044).xlsx]PIVOT TABLE!PivotTable6</c:name>
    <c:fmtId val="13"/>
  </c:pivotSource>
  <c:chart>
    <c:title>
      <c:tx>
        <c:rich>
          <a:bodyPr rot="0" spcFirstLastPara="1" vertOverflow="ellipsis" vert="horz" wrap="square" anchor="ctr" anchorCtr="1"/>
          <a:lstStyle/>
          <a:p>
            <a:pPr>
              <a:defRPr sz="1920" b="1" i="0" u="none" strike="noStrike" kern="1200" cap="all" spc="50" baseline="0">
                <a:solidFill>
                  <a:sysClr val="windowText" lastClr="000000"/>
                </a:solidFill>
                <a:latin typeface="+mn-lt"/>
                <a:ea typeface="+mn-ea"/>
                <a:cs typeface="+mn-cs"/>
              </a:defRPr>
            </a:pPr>
            <a:r>
              <a:rPr lang="en-IN"/>
              <a:t>Coustomer Srgment Contribution</a:t>
            </a:r>
          </a:p>
        </c:rich>
      </c:tx>
      <c:overlay val="0"/>
      <c:spPr>
        <a:noFill/>
        <a:ln>
          <a:noFill/>
        </a:ln>
        <a:effectLst/>
      </c:spPr>
      <c:txPr>
        <a:bodyPr rot="0" spcFirstLastPara="1" vertOverflow="ellipsis" vert="horz" wrap="square" anchor="ctr" anchorCtr="1"/>
        <a:lstStyle/>
        <a:p>
          <a:pPr>
            <a:defRPr sz="192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TABLE'!$L$2</c:f>
              <c:strCache>
                <c:ptCount val="1"/>
                <c:pt idx="0">
                  <c:v>Total</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C72-4550-A66B-3319A2E73D84}"/>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C72-4550-A66B-3319A2E73D84}"/>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C72-4550-A66B-3319A2E73D8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TABLE'!$K$3:$K$6</c:f>
              <c:strCache>
                <c:ptCount val="3"/>
                <c:pt idx="0">
                  <c:v>Consumer</c:v>
                </c:pt>
                <c:pt idx="1">
                  <c:v>Corporate</c:v>
                </c:pt>
                <c:pt idx="2">
                  <c:v>Home Office</c:v>
                </c:pt>
              </c:strCache>
            </c:strRef>
          </c:cat>
          <c:val>
            <c:numRef>
              <c:f>'PIVOT TABLE'!$L$3:$L$6</c:f>
              <c:numCache>
                <c:formatCode>0</c:formatCode>
                <c:ptCount val="3"/>
                <c:pt idx="0">
                  <c:v>524</c:v>
                </c:pt>
                <c:pt idx="1">
                  <c:v>553</c:v>
                </c:pt>
                <c:pt idx="2">
                  <c:v>555</c:v>
                </c:pt>
              </c:numCache>
            </c:numRef>
          </c:val>
          <c:extLst>
            <c:ext xmlns:c16="http://schemas.microsoft.com/office/drawing/2014/chart" uri="{C3380CC4-5D6E-409C-BE32-E72D297353CC}">
              <c16:uniqueId val="{00000006-1C72-4550-A66B-3319A2E73D84}"/>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sz="16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[Superstore_Dataset DASHBOARD(24SBDS044).xlsx]PIVOT TABLE!PivotTable4</c:name>
    <c:fmtId val="13"/>
  </c:pivotSource>
  <c:chart>
    <c:title>
      <c:tx>
        <c:rich>
          <a:bodyPr rot="0" spcFirstLastPara="1" vertOverflow="ellipsis" vert="horz" wrap="square" anchor="ctr" anchorCtr="1"/>
          <a:lstStyle/>
          <a:p>
            <a:pPr>
              <a:defRPr sz="2160" b="1" i="0" u="none" strike="noStrike" kern="1200" baseline="0">
                <a:solidFill>
                  <a:sysClr val="windowText" lastClr="000000"/>
                </a:solidFill>
                <a:latin typeface="+mn-lt"/>
                <a:ea typeface="+mn-ea"/>
                <a:cs typeface="+mn-cs"/>
              </a:defRPr>
            </a:pPr>
            <a:r>
              <a:rPr lang="en-IN"/>
              <a:t>Order Volume by Region</a:t>
            </a:r>
          </a:p>
        </c:rich>
      </c:tx>
      <c:overlay val="0"/>
      <c:spPr>
        <a:noFill/>
        <a:ln>
          <a:noFill/>
        </a:ln>
        <a:effectLst/>
      </c:spPr>
      <c:txPr>
        <a:bodyPr rot="0" spcFirstLastPara="1" vertOverflow="ellipsis" vert="horz" wrap="square" anchor="ctr" anchorCtr="1"/>
        <a:lstStyle/>
        <a:p>
          <a:pPr>
            <a:defRPr sz="216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TABLE'!$B$3:$B$4</c:f>
              <c:strCache>
                <c:ptCount val="1"/>
                <c:pt idx="0">
                  <c:v>Consumer</c:v>
                </c:pt>
              </c:strCache>
            </c:strRef>
          </c:tx>
          <c:spPr>
            <a:gradFill rotWithShape="1">
              <a:gsLst>
                <a:gs pos="0">
                  <a:schemeClr val="accent6">
                    <a:shade val="65000"/>
                    <a:shade val="51000"/>
                    <a:satMod val="130000"/>
                  </a:schemeClr>
                </a:gs>
                <a:gs pos="80000">
                  <a:schemeClr val="accent6">
                    <a:shade val="65000"/>
                    <a:shade val="93000"/>
                    <a:satMod val="130000"/>
                  </a:schemeClr>
                </a:gs>
                <a:gs pos="100000">
                  <a:schemeClr val="accent6">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Central</c:v>
                </c:pt>
                <c:pt idx="1">
                  <c:v>East</c:v>
                </c:pt>
                <c:pt idx="2">
                  <c:v>South</c:v>
                </c:pt>
                <c:pt idx="3">
                  <c:v>West</c:v>
                </c:pt>
              </c:strCache>
            </c:strRef>
          </c:cat>
          <c:val>
            <c:numRef>
              <c:f>'PIVOT TABLE'!$B$5:$B$9</c:f>
              <c:numCache>
                <c:formatCode>0</c:formatCode>
                <c:ptCount val="4"/>
                <c:pt idx="0">
                  <c:v>146</c:v>
                </c:pt>
                <c:pt idx="1">
                  <c:v>162</c:v>
                </c:pt>
                <c:pt idx="2">
                  <c:v>101</c:v>
                </c:pt>
                <c:pt idx="3">
                  <c:v>115</c:v>
                </c:pt>
              </c:numCache>
            </c:numRef>
          </c:val>
          <c:extLst>
            <c:ext xmlns:c16="http://schemas.microsoft.com/office/drawing/2014/chart" uri="{C3380CC4-5D6E-409C-BE32-E72D297353CC}">
              <c16:uniqueId val="{00000000-433A-4C32-9275-AEBE0A31D0DB}"/>
            </c:ext>
          </c:extLst>
        </c:ser>
        <c:ser>
          <c:idx val="1"/>
          <c:order val="1"/>
          <c:tx>
            <c:strRef>
              <c:f>'PIVOT TABLE'!$C$3:$C$4</c:f>
              <c:strCache>
                <c:ptCount val="1"/>
                <c:pt idx="0">
                  <c:v>Corporate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Central</c:v>
                </c:pt>
                <c:pt idx="1">
                  <c:v>East</c:v>
                </c:pt>
                <c:pt idx="2">
                  <c:v>South</c:v>
                </c:pt>
                <c:pt idx="3">
                  <c:v>West</c:v>
                </c:pt>
              </c:strCache>
            </c:strRef>
          </c:cat>
          <c:val>
            <c:numRef>
              <c:f>'PIVOT TABLE'!$C$5:$C$9</c:f>
              <c:numCache>
                <c:formatCode>0</c:formatCode>
                <c:ptCount val="4"/>
                <c:pt idx="0">
                  <c:v>110</c:v>
                </c:pt>
                <c:pt idx="1">
                  <c:v>133</c:v>
                </c:pt>
                <c:pt idx="2">
                  <c:v>116</c:v>
                </c:pt>
                <c:pt idx="3">
                  <c:v>194</c:v>
                </c:pt>
              </c:numCache>
            </c:numRef>
          </c:val>
          <c:extLst>
            <c:ext xmlns:c16="http://schemas.microsoft.com/office/drawing/2014/chart" uri="{C3380CC4-5D6E-409C-BE32-E72D297353CC}">
              <c16:uniqueId val="{00000001-433A-4C32-9275-AEBE0A31D0DB}"/>
            </c:ext>
          </c:extLst>
        </c:ser>
        <c:ser>
          <c:idx val="2"/>
          <c:order val="2"/>
          <c:tx>
            <c:strRef>
              <c:f>'PIVOT TABLE'!$D$3:$D$4</c:f>
              <c:strCache>
                <c:ptCount val="1"/>
                <c:pt idx="0">
                  <c:v>Home Office</c:v>
                </c:pt>
              </c:strCache>
            </c:strRef>
          </c:tx>
          <c:spPr>
            <a:gradFill rotWithShape="1">
              <a:gsLst>
                <a:gs pos="0">
                  <a:schemeClr val="accent6">
                    <a:tint val="65000"/>
                    <a:shade val="51000"/>
                    <a:satMod val="130000"/>
                  </a:schemeClr>
                </a:gs>
                <a:gs pos="80000">
                  <a:schemeClr val="accent6">
                    <a:tint val="65000"/>
                    <a:shade val="93000"/>
                    <a:satMod val="130000"/>
                  </a:schemeClr>
                </a:gs>
                <a:gs pos="100000">
                  <a:schemeClr val="accent6">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Central</c:v>
                </c:pt>
                <c:pt idx="1">
                  <c:v>East</c:v>
                </c:pt>
                <c:pt idx="2">
                  <c:v>South</c:v>
                </c:pt>
                <c:pt idx="3">
                  <c:v>West</c:v>
                </c:pt>
              </c:strCache>
            </c:strRef>
          </c:cat>
          <c:val>
            <c:numRef>
              <c:f>'PIVOT TABLE'!$D$5:$D$9</c:f>
              <c:numCache>
                <c:formatCode>0</c:formatCode>
                <c:ptCount val="4"/>
                <c:pt idx="0">
                  <c:v>132</c:v>
                </c:pt>
                <c:pt idx="1">
                  <c:v>107</c:v>
                </c:pt>
                <c:pt idx="2">
                  <c:v>154</c:v>
                </c:pt>
                <c:pt idx="3">
                  <c:v>162</c:v>
                </c:pt>
              </c:numCache>
            </c:numRef>
          </c:val>
          <c:extLst>
            <c:ext xmlns:c16="http://schemas.microsoft.com/office/drawing/2014/chart" uri="{C3380CC4-5D6E-409C-BE32-E72D297353CC}">
              <c16:uniqueId val="{00000002-433A-4C32-9275-AEBE0A31D0DB}"/>
            </c:ext>
          </c:extLst>
        </c:ser>
        <c:dLbls>
          <c:dLblPos val="ctr"/>
          <c:showLegendKey val="0"/>
          <c:showVal val="1"/>
          <c:showCatName val="0"/>
          <c:showSerName val="0"/>
          <c:showPercent val="0"/>
          <c:showBubbleSize val="0"/>
        </c:dLbls>
        <c:gapWidth val="150"/>
        <c:overlap val="100"/>
        <c:axId val="1694494319"/>
        <c:axId val="1694493359"/>
      </c:barChart>
      <c:catAx>
        <c:axId val="1694494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1694493359"/>
        <c:crosses val="autoZero"/>
        <c:auto val="1"/>
        <c:lblAlgn val="ctr"/>
        <c:lblOffset val="100"/>
        <c:noMultiLvlLbl val="0"/>
      </c:catAx>
      <c:valAx>
        <c:axId val="16944933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169449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sz="18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[Superstore_Dataset DASHBOARD(24SBDS044).xlsx]PIVOT TABLE!PivotTable7</c:name>
    <c:fmtId val="22"/>
  </c:pivotSource>
  <c:chart>
    <c:title>
      <c:tx>
        <c:rich>
          <a:bodyPr rot="0" spcFirstLastPara="1" vertOverflow="ellipsis" vert="horz" wrap="square" anchor="ctr" anchorCtr="1"/>
          <a:lstStyle/>
          <a:p>
            <a:pPr>
              <a:defRPr sz="2160" b="1" i="0" u="none" strike="noStrike" kern="1200" spc="0" baseline="0">
                <a:solidFill>
                  <a:sysClr val="windowText" lastClr="000000"/>
                </a:solidFill>
                <a:latin typeface="+mn-lt"/>
                <a:ea typeface="+mn-ea"/>
                <a:cs typeface="+mn-cs"/>
              </a:defRPr>
            </a:pPr>
            <a:r>
              <a:rPr lang="en-US"/>
              <a:t>Sales over the period</a:t>
            </a:r>
          </a:p>
        </c:rich>
      </c:tx>
      <c:overlay val="0"/>
      <c:spPr>
        <a:noFill/>
        <a:ln>
          <a:noFill/>
        </a:ln>
        <a:effectLst/>
      </c:spPr>
      <c:txPr>
        <a:bodyPr rot="0" spcFirstLastPara="1" vertOverflow="ellipsis" vert="horz" wrap="square" anchor="ctr" anchorCtr="1"/>
        <a:lstStyle/>
        <a:p>
          <a:pPr>
            <a:defRPr sz="216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TABLE'!$O$2</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TABLE'!$O$3:$O$15</c:f>
              <c:numCache>
                <c:formatCode>[$$-409]#,##0.00</c:formatCode>
                <c:ptCount val="12"/>
                <c:pt idx="0">
                  <c:v>12298.050000000001</c:v>
                </c:pt>
                <c:pt idx="1">
                  <c:v>15875.040000000003</c:v>
                </c:pt>
                <c:pt idx="2">
                  <c:v>12650.87</c:v>
                </c:pt>
                <c:pt idx="3">
                  <c:v>10977.639999999998</c:v>
                </c:pt>
                <c:pt idx="4">
                  <c:v>11349.5</c:v>
                </c:pt>
                <c:pt idx="5">
                  <c:v>15537.800000000003</c:v>
                </c:pt>
                <c:pt idx="6">
                  <c:v>18710.439999999999</c:v>
                </c:pt>
                <c:pt idx="7">
                  <c:v>12028.529999999999</c:v>
                </c:pt>
                <c:pt idx="8">
                  <c:v>9634.1400000000012</c:v>
                </c:pt>
                <c:pt idx="9">
                  <c:v>9264.1</c:v>
                </c:pt>
                <c:pt idx="10">
                  <c:v>14443.390000000003</c:v>
                </c:pt>
                <c:pt idx="11">
                  <c:v>12505.17</c:v>
                </c:pt>
              </c:numCache>
            </c:numRef>
          </c:val>
          <c:smooth val="0"/>
          <c:extLst>
            <c:ext xmlns:c16="http://schemas.microsoft.com/office/drawing/2014/chart" uri="{C3380CC4-5D6E-409C-BE32-E72D297353CC}">
              <c16:uniqueId val="{00000000-951E-4AED-BA9E-2A42F0D28D55}"/>
            </c:ext>
          </c:extLst>
        </c:ser>
        <c:dLbls>
          <c:dLblPos val="t"/>
          <c:showLegendKey val="0"/>
          <c:showVal val="1"/>
          <c:showCatName val="0"/>
          <c:showSerName val="0"/>
          <c:showPercent val="0"/>
          <c:showBubbleSize val="0"/>
        </c:dLbls>
        <c:smooth val="0"/>
        <c:axId val="1832104415"/>
        <c:axId val="1832100095"/>
      </c:lineChart>
      <c:catAx>
        <c:axId val="183210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1832100095"/>
        <c:crosses val="autoZero"/>
        <c:auto val="1"/>
        <c:lblAlgn val="ctr"/>
        <c:lblOffset val="100"/>
        <c:noMultiLvlLbl val="0"/>
      </c:catAx>
      <c:valAx>
        <c:axId val="1832100095"/>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183210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sz="18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 DASHBOARD(24SBDS044).xlsx]PIVOT TABLE!PivotTable9</c:name>
    <c:fmtId val="23"/>
  </c:pivotSource>
  <c:chart>
    <c:title>
      <c:tx>
        <c:rich>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r>
              <a:rPr lang="en-IN"/>
              <a:t>Category and Sub-Category Performance</a:t>
            </a: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TABLE'!$O$17</c:f>
              <c:strCache>
                <c:ptCount val="1"/>
                <c:pt idx="0">
                  <c:v>Sum of Sales</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TABLE'!$N$18:$N$30</c:f>
              <c:multiLvlStrCache>
                <c:ptCount val="9"/>
                <c:lvl>
                  <c:pt idx="0">
                    <c:v>Bookcases</c:v>
                  </c:pt>
                  <c:pt idx="1">
                    <c:v>Chairs</c:v>
                  </c:pt>
                  <c:pt idx="2">
                    <c:v>Tables</c:v>
                  </c:pt>
                  <c:pt idx="3">
                    <c:v>Binders</c:v>
                  </c:pt>
                  <c:pt idx="4">
                    <c:v>Paper</c:v>
                  </c:pt>
                  <c:pt idx="5">
                    <c:v>Storage</c:v>
                  </c:pt>
                  <c:pt idx="6">
                    <c:v>Accessories</c:v>
                  </c:pt>
                  <c:pt idx="7">
                    <c:v>Copiers</c:v>
                  </c:pt>
                  <c:pt idx="8">
                    <c:v>Phones</c:v>
                  </c:pt>
                </c:lvl>
                <c:lvl>
                  <c:pt idx="0">
                    <c:v>Furniture</c:v>
                  </c:pt>
                  <c:pt idx="3">
                    <c:v>Office Supplies</c:v>
                  </c:pt>
                  <c:pt idx="6">
                    <c:v>Technology</c:v>
                  </c:pt>
                </c:lvl>
              </c:multiLvlStrCache>
            </c:multiLvlStrRef>
          </c:cat>
          <c:val>
            <c:numRef>
              <c:f>'PIVOT TABLE'!$O$18:$O$30</c:f>
              <c:numCache>
                <c:formatCode>[$$-409]#,##0.00</c:formatCode>
                <c:ptCount val="9"/>
                <c:pt idx="0">
                  <c:v>16243.409999999998</c:v>
                </c:pt>
                <c:pt idx="1">
                  <c:v>17660.900000000001</c:v>
                </c:pt>
                <c:pt idx="2">
                  <c:v>19484.669999999991</c:v>
                </c:pt>
                <c:pt idx="3">
                  <c:v>16992.72</c:v>
                </c:pt>
                <c:pt idx="4">
                  <c:v>15825.350000000004</c:v>
                </c:pt>
                <c:pt idx="5">
                  <c:v>19256.13</c:v>
                </c:pt>
                <c:pt idx="6">
                  <c:v>12696.75</c:v>
                </c:pt>
                <c:pt idx="7">
                  <c:v>15299.21</c:v>
                </c:pt>
                <c:pt idx="8">
                  <c:v>21815.530000000002</c:v>
                </c:pt>
              </c:numCache>
            </c:numRef>
          </c:val>
          <c:extLst>
            <c:ext xmlns:c16="http://schemas.microsoft.com/office/drawing/2014/chart" uri="{C3380CC4-5D6E-409C-BE32-E72D297353CC}">
              <c16:uniqueId val="{00000000-314C-4BAE-AB0C-40B2FF0F8F20}"/>
            </c:ext>
          </c:extLst>
        </c:ser>
        <c:ser>
          <c:idx val="1"/>
          <c:order val="1"/>
          <c:tx>
            <c:strRef>
              <c:f>'PIVOT TABLE'!$P$17</c:f>
              <c:strCache>
                <c:ptCount val="1"/>
                <c:pt idx="0">
                  <c:v>Sum of Profit</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TABLE'!$N$18:$N$30</c:f>
              <c:multiLvlStrCache>
                <c:ptCount val="9"/>
                <c:lvl>
                  <c:pt idx="0">
                    <c:v>Bookcases</c:v>
                  </c:pt>
                  <c:pt idx="1">
                    <c:v>Chairs</c:v>
                  </c:pt>
                  <c:pt idx="2">
                    <c:v>Tables</c:v>
                  </c:pt>
                  <c:pt idx="3">
                    <c:v>Binders</c:v>
                  </c:pt>
                  <c:pt idx="4">
                    <c:v>Paper</c:v>
                  </c:pt>
                  <c:pt idx="5">
                    <c:v>Storage</c:v>
                  </c:pt>
                  <c:pt idx="6">
                    <c:v>Accessories</c:v>
                  </c:pt>
                  <c:pt idx="7">
                    <c:v>Copiers</c:v>
                  </c:pt>
                  <c:pt idx="8">
                    <c:v>Phones</c:v>
                  </c:pt>
                </c:lvl>
                <c:lvl>
                  <c:pt idx="0">
                    <c:v>Furniture</c:v>
                  </c:pt>
                  <c:pt idx="3">
                    <c:v>Office Supplies</c:v>
                  </c:pt>
                  <c:pt idx="6">
                    <c:v>Technology</c:v>
                  </c:pt>
                </c:lvl>
              </c:multiLvlStrCache>
            </c:multiLvlStrRef>
          </c:cat>
          <c:val>
            <c:numRef>
              <c:f>'PIVOT TABLE'!$P$18:$P$30</c:f>
              <c:numCache>
                <c:formatCode>[$$-409]#,##0.00</c:formatCode>
                <c:ptCount val="9"/>
                <c:pt idx="0">
                  <c:v>693.88999999999987</c:v>
                </c:pt>
                <c:pt idx="1">
                  <c:v>990.75</c:v>
                </c:pt>
                <c:pt idx="2">
                  <c:v>737.6099999999999</c:v>
                </c:pt>
                <c:pt idx="3">
                  <c:v>-89.219999999999956</c:v>
                </c:pt>
                <c:pt idx="4">
                  <c:v>443.47000000000008</c:v>
                </c:pt>
                <c:pt idx="5">
                  <c:v>1381.92</c:v>
                </c:pt>
                <c:pt idx="6">
                  <c:v>287.08999999999997</c:v>
                </c:pt>
                <c:pt idx="7">
                  <c:v>1126.1200000000001</c:v>
                </c:pt>
                <c:pt idx="8">
                  <c:v>1116.2800000000002</c:v>
                </c:pt>
              </c:numCache>
            </c:numRef>
          </c:val>
          <c:extLst>
            <c:ext xmlns:c16="http://schemas.microsoft.com/office/drawing/2014/chart" uri="{C3380CC4-5D6E-409C-BE32-E72D297353CC}">
              <c16:uniqueId val="{00000001-314C-4BAE-AB0C-40B2FF0F8F20}"/>
            </c:ext>
          </c:extLst>
        </c:ser>
        <c:dLbls>
          <c:dLblPos val="outEnd"/>
          <c:showLegendKey val="0"/>
          <c:showVal val="1"/>
          <c:showCatName val="0"/>
          <c:showSerName val="0"/>
          <c:showPercent val="0"/>
          <c:showBubbleSize val="0"/>
        </c:dLbls>
        <c:gapWidth val="219"/>
        <c:overlap val="-27"/>
        <c:axId val="1519375055"/>
        <c:axId val="1519374095"/>
      </c:barChart>
      <c:catAx>
        <c:axId val="151937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crossAx val="1519374095"/>
        <c:crosses val="autoZero"/>
        <c:auto val="1"/>
        <c:lblAlgn val="ctr"/>
        <c:lblOffset val="100"/>
        <c:noMultiLvlLbl val="0"/>
      </c:catAx>
      <c:valAx>
        <c:axId val="1519374095"/>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crossAx val="15193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sz="20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[Superstore_Dataset DASHBOARD(24SBDS044).xlsx]PIVOT TABLE!PivotTable13</c:name>
    <c:fmtId val="30"/>
  </c:pivotSource>
  <c:chart>
    <c:title>
      <c:tx>
        <c:rich>
          <a:bodyPr rot="0" spcFirstLastPara="1" vertOverflow="ellipsis" vert="horz" wrap="square" anchor="ctr" anchorCtr="1"/>
          <a:lstStyle/>
          <a:p>
            <a:pPr>
              <a:defRPr sz="2160" b="1" i="0" u="none" strike="noStrike" kern="1200" spc="0" baseline="0">
                <a:solidFill>
                  <a:sysClr val="windowText" lastClr="000000"/>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216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TABLE'!$T$3:$T$7</c:f>
              <c:strCache>
                <c:ptCount val="4"/>
                <c:pt idx="0">
                  <c:v>Central</c:v>
                </c:pt>
                <c:pt idx="1">
                  <c:v>East</c:v>
                </c:pt>
                <c:pt idx="2">
                  <c:v>South</c:v>
                </c:pt>
                <c:pt idx="3">
                  <c:v>West</c:v>
                </c:pt>
              </c:strCache>
            </c:strRef>
          </c:cat>
          <c:val>
            <c:numRef>
              <c:f>'PIVOT TABLE'!$U$3:$U$7</c:f>
              <c:numCache>
                <c:formatCode>[$$-409]#,##0.00</c:formatCode>
                <c:ptCount val="4"/>
                <c:pt idx="0">
                  <c:v>35449.520000000004</c:v>
                </c:pt>
                <c:pt idx="1">
                  <c:v>40616.47</c:v>
                </c:pt>
                <c:pt idx="2">
                  <c:v>38611.19000000001</c:v>
                </c:pt>
                <c:pt idx="3">
                  <c:v>40597.490000000005</c:v>
                </c:pt>
              </c:numCache>
            </c:numRef>
          </c:val>
          <c:extLst>
            <c:ext xmlns:c16="http://schemas.microsoft.com/office/drawing/2014/chart" uri="{C3380CC4-5D6E-409C-BE32-E72D297353CC}">
              <c16:uniqueId val="{00000000-3A6B-4077-82EC-0923775B2AF8}"/>
            </c:ext>
          </c:extLst>
        </c:ser>
        <c:dLbls>
          <c:dLblPos val="outEnd"/>
          <c:showLegendKey val="0"/>
          <c:showVal val="1"/>
          <c:showCatName val="0"/>
          <c:showSerName val="0"/>
          <c:showPercent val="0"/>
          <c:showBubbleSize val="0"/>
        </c:dLbls>
        <c:gapWidth val="219"/>
        <c:overlap val="-27"/>
        <c:axId val="1903384831"/>
        <c:axId val="1903379551"/>
      </c:barChart>
      <c:catAx>
        <c:axId val="190338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1903379551"/>
        <c:crosses val="autoZero"/>
        <c:auto val="1"/>
        <c:lblAlgn val="ctr"/>
        <c:lblOffset val="100"/>
        <c:noMultiLvlLbl val="0"/>
      </c:catAx>
      <c:valAx>
        <c:axId val="1903379551"/>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crossAx val="190338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sz="18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9524</xdr:rowOff>
    </xdr:from>
    <xdr:to>
      <xdr:col>32</xdr:col>
      <xdr:colOff>46844</xdr:colOff>
      <xdr:row>98</xdr:row>
      <xdr:rowOff>156147</xdr:rowOff>
    </xdr:to>
    <xdr:grpSp>
      <xdr:nvGrpSpPr>
        <xdr:cNvPr id="32" name="Group 31">
          <a:extLst>
            <a:ext uri="{FF2B5EF4-FFF2-40B4-BE49-F238E27FC236}">
              <a16:creationId xmlns:a16="http://schemas.microsoft.com/office/drawing/2014/main" id="{029449BA-E840-0BFC-2E3A-F85A7C5487D0}"/>
            </a:ext>
          </a:extLst>
        </xdr:cNvPr>
        <xdr:cNvGrpSpPr/>
      </xdr:nvGrpSpPr>
      <xdr:grpSpPr>
        <a:xfrm>
          <a:off x="1" y="9524"/>
          <a:ext cx="19554043" cy="18815623"/>
          <a:chOff x="1" y="9524"/>
          <a:chExt cx="19641129" cy="20149123"/>
        </a:xfrm>
      </xdr:grpSpPr>
      <xdr:sp macro="" textlink="">
        <xdr:nvSpPr>
          <xdr:cNvPr id="2" name="Rectangle 1">
            <a:extLst>
              <a:ext uri="{FF2B5EF4-FFF2-40B4-BE49-F238E27FC236}">
                <a16:creationId xmlns:a16="http://schemas.microsoft.com/office/drawing/2014/main" id="{335800B6-49A4-3A99-D4EB-D50FB411A5E6}"/>
              </a:ext>
            </a:extLst>
          </xdr:cNvPr>
          <xdr:cNvSpPr/>
        </xdr:nvSpPr>
        <xdr:spPr>
          <a:xfrm>
            <a:off x="38099" y="9524"/>
            <a:ext cx="19603031" cy="20149123"/>
          </a:xfrm>
          <a:prstGeom prst="rect">
            <a:avLst/>
          </a:prstGeom>
          <a:no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A1B17E30-8409-4052-8805-4E9759A517AC}"/>
              </a:ext>
            </a:extLst>
          </xdr:cNvPr>
          <xdr:cNvSpPr/>
        </xdr:nvSpPr>
        <xdr:spPr>
          <a:xfrm>
            <a:off x="62459" y="78074"/>
            <a:ext cx="19531827" cy="643550"/>
          </a:xfrm>
          <a:prstGeom prst="roundRect">
            <a:avLst/>
          </a:prstGeom>
          <a:solidFill>
            <a:schemeClr val="accent6">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000">
                <a:solidFill>
                  <a:schemeClr val="bg1"/>
                </a:solidFill>
              </a:rPr>
              <a:t>SUPERSTORE</a:t>
            </a:r>
            <a:r>
              <a:rPr lang="en-IN" sz="4000" baseline="0">
                <a:solidFill>
                  <a:schemeClr val="bg1"/>
                </a:solidFill>
              </a:rPr>
              <a:t> SALES ANALYSIS</a:t>
            </a:r>
            <a:endParaRPr lang="en-IN" sz="4000">
              <a:solidFill>
                <a:schemeClr val="bg1"/>
              </a:solidFill>
            </a:endParaRPr>
          </a:p>
        </xdr:txBody>
      </xdr:sp>
      <xdr:grpSp>
        <xdr:nvGrpSpPr>
          <xdr:cNvPr id="4" name="Group 3">
            <a:extLst>
              <a:ext uri="{FF2B5EF4-FFF2-40B4-BE49-F238E27FC236}">
                <a16:creationId xmlns:a16="http://schemas.microsoft.com/office/drawing/2014/main" id="{8D1D755F-7BCA-4034-9F15-2E2BCF229955}"/>
              </a:ext>
            </a:extLst>
          </xdr:cNvPr>
          <xdr:cNvGrpSpPr/>
        </xdr:nvGrpSpPr>
        <xdr:grpSpPr>
          <a:xfrm>
            <a:off x="78074" y="832044"/>
            <a:ext cx="3914566" cy="1693823"/>
            <a:chOff x="4007183" y="1671945"/>
            <a:chExt cx="4710614" cy="1916589"/>
          </a:xfrm>
        </xdr:grpSpPr>
        <xdr:sp macro="" textlink="'PIVOT TABLE'!R9">
          <xdr:nvSpPr>
            <xdr:cNvPr id="5" name="Rectangle: Rounded Corners 4">
              <a:extLst>
                <a:ext uri="{FF2B5EF4-FFF2-40B4-BE49-F238E27FC236}">
                  <a16:creationId xmlns:a16="http://schemas.microsoft.com/office/drawing/2014/main" id="{F7C0BFB9-AB48-06E0-5F27-B187D7FFC470}"/>
                </a:ext>
              </a:extLst>
            </xdr:cNvPr>
            <xdr:cNvSpPr/>
          </xdr:nvSpPr>
          <xdr:spPr>
            <a:xfrm>
              <a:off x="4007183" y="1671945"/>
              <a:ext cx="4710614" cy="1916589"/>
            </a:xfrm>
            <a:prstGeom prst="roundRect">
              <a:avLst/>
            </a:prstGeom>
            <a:solidFill>
              <a:schemeClr val="bg1"/>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3709D4C-70F8-4608-BB77-2863589351F2}" type="TxLink">
                <a:rPr lang="en-US" sz="3200" b="1" i="0" u="none" strike="noStrike">
                  <a:solidFill>
                    <a:srgbClr val="000000"/>
                  </a:solidFill>
                  <a:latin typeface="Calibri"/>
                  <a:ea typeface="Calibri"/>
                  <a:cs typeface="Calibri"/>
                </a:rPr>
                <a:pPr algn="ctr"/>
                <a:t> $35,449.52 </a:t>
              </a:fld>
              <a:endParaRPr lang="en-IN" sz="3200" b="1"/>
            </a:p>
          </xdr:txBody>
        </xdr:sp>
        <xdr:sp macro="" textlink="">
          <xdr:nvSpPr>
            <xdr:cNvPr id="6" name="TextBox 5">
              <a:extLst>
                <a:ext uri="{FF2B5EF4-FFF2-40B4-BE49-F238E27FC236}">
                  <a16:creationId xmlns:a16="http://schemas.microsoft.com/office/drawing/2014/main" id="{12BF96C9-E466-3AF6-A844-3517D26BF375}"/>
                </a:ext>
              </a:extLst>
            </xdr:cNvPr>
            <xdr:cNvSpPr txBox="1"/>
          </xdr:nvSpPr>
          <xdr:spPr>
            <a:xfrm>
              <a:off x="4197458" y="1969576"/>
              <a:ext cx="4181313" cy="581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ysClr val="windowText" lastClr="000000"/>
                  </a:solidFill>
                </a:rPr>
                <a:t>TOTAL SALES AMOUNT</a:t>
              </a:r>
            </a:p>
          </xdr:txBody>
        </xdr:sp>
        <xdr:pic>
          <xdr:nvPicPr>
            <xdr:cNvPr id="7" name="Graphic 6" descr="For Sale with solid fill">
              <a:extLst>
                <a:ext uri="{FF2B5EF4-FFF2-40B4-BE49-F238E27FC236}">
                  <a16:creationId xmlns:a16="http://schemas.microsoft.com/office/drawing/2014/main" id="{19C4E02A-4A0E-AE3C-AFF2-64E5AC98BF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65297" y="2179449"/>
              <a:ext cx="914400" cy="914400"/>
            </a:xfrm>
            <a:prstGeom prst="rect">
              <a:avLst/>
            </a:prstGeom>
          </xdr:spPr>
        </xdr:pic>
      </xdr:grpSp>
      <xdr:grpSp>
        <xdr:nvGrpSpPr>
          <xdr:cNvPr id="8" name="Group 7">
            <a:extLst>
              <a:ext uri="{FF2B5EF4-FFF2-40B4-BE49-F238E27FC236}">
                <a16:creationId xmlns:a16="http://schemas.microsoft.com/office/drawing/2014/main" id="{53FC4871-B275-4264-ACF5-90514FF66F49}"/>
              </a:ext>
            </a:extLst>
          </xdr:cNvPr>
          <xdr:cNvGrpSpPr/>
        </xdr:nvGrpSpPr>
        <xdr:grpSpPr>
          <a:xfrm>
            <a:off x="4079913" y="816429"/>
            <a:ext cx="4013131" cy="1709968"/>
            <a:chOff x="9270149" y="1720377"/>
            <a:chExt cx="4710614" cy="1916589"/>
          </a:xfrm>
        </xdr:grpSpPr>
        <xdr:grpSp>
          <xdr:nvGrpSpPr>
            <xdr:cNvPr id="9" name="Group 8">
              <a:extLst>
                <a:ext uri="{FF2B5EF4-FFF2-40B4-BE49-F238E27FC236}">
                  <a16:creationId xmlns:a16="http://schemas.microsoft.com/office/drawing/2014/main" id="{368B8488-67B6-8CA9-DE42-CE15B17DCAD1}"/>
                </a:ext>
              </a:extLst>
            </xdr:cNvPr>
            <xdr:cNvGrpSpPr/>
          </xdr:nvGrpSpPr>
          <xdr:grpSpPr>
            <a:xfrm>
              <a:off x="9270149" y="1720377"/>
              <a:ext cx="4710614" cy="1916589"/>
              <a:chOff x="4007183" y="1671945"/>
              <a:chExt cx="4710614" cy="1916589"/>
            </a:xfrm>
          </xdr:grpSpPr>
          <xdr:sp macro="" textlink="'PIVOT TABLE'!R3">
            <xdr:nvSpPr>
              <xdr:cNvPr id="11" name="Rectangle: Rounded Corners 10">
                <a:extLst>
                  <a:ext uri="{FF2B5EF4-FFF2-40B4-BE49-F238E27FC236}">
                    <a16:creationId xmlns:a16="http://schemas.microsoft.com/office/drawing/2014/main" id="{B9CD92A4-4D8B-CDF2-CFC3-CE36348B0DB0}"/>
                  </a:ext>
                </a:extLst>
              </xdr:cNvPr>
              <xdr:cNvSpPr/>
            </xdr:nvSpPr>
            <xdr:spPr>
              <a:xfrm>
                <a:off x="4007183" y="1671945"/>
                <a:ext cx="4710614" cy="1916589"/>
              </a:xfrm>
              <a:prstGeom prst="roundRect">
                <a:avLst/>
              </a:prstGeom>
              <a:solidFill>
                <a:schemeClr val="bg1"/>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B3FC3D-A1F3-4F83-9256-709915C2585D}" type="TxLink">
                  <a:rPr lang="en-US" sz="3200" b="1" i="0" u="none" strike="noStrike">
                    <a:solidFill>
                      <a:srgbClr val="000000"/>
                    </a:solidFill>
                    <a:latin typeface="Calibri"/>
                    <a:ea typeface="Calibri"/>
                    <a:cs typeface="Calibri"/>
                  </a:rPr>
                  <a:pPr algn="ctr"/>
                  <a:t> $1,270.69 </a:t>
                </a:fld>
                <a:endParaRPr lang="en-IN" sz="7200" b="1"/>
              </a:p>
            </xdr:txBody>
          </xdr:sp>
          <xdr:sp macro="" textlink="">
            <xdr:nvSpPr>
              <xdr:cNvPr id="12" name="TextBox 11">
                <a:extLst>
                  <a:ext uri="{FF2B5EF4-FFF2-40B4-BE49-F238E27FC236}">
                    <a16:creationId xmlns:a16="http://schemas.microsoft.com/office/drawing/2014/main" id="{E52B9E72-8A67-D98B-3931-F550267DB069}"/>
                  </a:ext>
                </a:extLst>
              </xdr:cNvPr>
              <xdr:cNvSpPr txBox="1"/>
            </xdr:nvSpPr>
            <xdr:spPr>
              <a:xfrm>
                <a:off x="4197458" y="1969576"/>
                <a:ext cx="4181313" cy="581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ysClr val="windowText" lastClr="000000"/>
                    </a:solidFill>
                  </a:rPr>
                  <a:t>TOTAL PROFIT</a:t>
                </a:r>
              </a:p>
            </xdr:txBody>
          </xdr:sp>
        </xdr:grpSp>
        <xdr:pic>
          <xdr:nvPicPr>
            <xdr:cNvPr id="10" name="Graphic 9" descr="Upward trend with solid fill">
              <a:extLst>
                <a:ext uri="{FF2B5EF4-FFF2-40B4-BE49-F238E27FC236}">
                  <a16:creationId xmlns:a16="http://schemas.microsoft.com/office/drawing/2014/main" id="{F63FA347-CDE6-39EE-5C8E-210BE3886F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834533" y="2195594"/>
              <a:ext cx="914400" cy="914400"/>
            </a:xfrm>
            <a:prstGeom prst="rect">
              <a:avLst/>
            </a:prstGeom>
          </xdr:spPr>
        </xdr:pic>
      </xdr:grpSp>
      <xdr:grpSp>
        <xdr:nvGrpSpPr>
          <xdr:cNvPr id="13" name="Group 12">
            <a:extLst>
              <a:ext uri="{FF2B5EF4-FFF2-40B4-BE49-F238E27FC236}">
                <a16:creationId xmlns:a16="http://schemas.microsoft.com/office/drawing/2014/main" id="{253ACC79-4E6B-466D-9B1F-AE7DF5C3A078}"/>
              </a:ext>
            </a:extLst>
          </xdr:cNvPr>
          <xdr:cNvGrpSpPr/>
        </xdr:nvGrpSpPr>
        <xdr:grpSpPr>
          <a:xfrm>
            <a:off x="8194401" y="832044"/>
            <a:ext cx="4106172" cy="1672582"/>
            <a:chOff x="11901632" y="4125843"/>
            <a:chExt cx="4710614" cy="1916589"/>
          </a:xfrm>
        </xdr:grpSpPr>
        <xdr:grpSp>
          <xdr:nvGrpSpPr>
            <xdr:cNvPr id="14" name="Group 13">
              <a:extLst>
                <a:ext uri="{FF2B5EF4-FFF2-40B4-BE49-F238E27FC236}">
                  <a16:creationId xmlns:a16="http://schemas.microsoft.com/office/drawing/2014/main" id="{0B137FB4-FC2D-5287-6156-2AADE5DF1954}"/>
                </a:ext>
              </a:extLst>
            </xdr:cNvPr>
            <xdr:cNvGrpSpPr/>
          </xdr:nvGrpSpPr>
          <xdr:grpSpPr>
            <a:xfrm>
              <a:off x="11901632" y="4125843"/>
              <a:ext cx="4710614" cy="1916589"/>
              <a:chOff x="4007183" y="1671945"/>
              <a:chExt cx="4710614" cy="1916589"/>
            </a:xfrm>
          </xdr:grpSpPr>
          <xdr:sp macro="" textlink="'PIVOT TABLE'!S15">
            <xdr:nvSpPr>
              <xdr:cNvPr id="16" name="Rectangle: Rounded Corners 15">
                <a:extLst>
                  <a:ext uri="{FF2B5EF4-FFF2-40B4-BE49-F238E27FC236}">
                    <a16:creationId xmlns:a16="http://schemas.microsoft.com/office/drawing/2014/main" id="{FD1AC88E-DD72-5F56-217D-6F3BF3C59D47}"/>
                  </a:ext>
                </a:extLst>
              </xdr:cNvPr>
              <xdr:cNvSpPr/>
            </xdr:nvSpPr>
            <xdr:spPr>
              <a:xfrm>
                <a:off x="4007183" y="1671945"/>
                <a:ext cx="4710614" cy="1916589"/>
              </a:xfrm>
              <a:prstGeom prst="roundRect">
                <a:avLst/>
              </a:prstGeom>
              <a:solidFill>
                <a:schemeClr val="bg1"/>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3729805-049A-4C7C-9D2B-2759FBA67B79}" type="TxLink">
                  <a:rPr lang="en-US" sz="3200" b="1" i="0" u="none" strike="noStrike">
                    <a:solidFill>
                      <a:srgbClr val="000000"/>
                    </a:solidFill>
                    <a:latin typeface="Calibri"/>
                    <a:ea typeface="Calibri"/>
                    <a:cs typeface="Calibri"/>
                  </a:rPr>
                  <a:pPr algn="ctr"/>
                  <a:t>69</a:t>
                </a:fld>
                <a:endParaRPr lang="en-IN" sz="7200" b="1"/>
              </a:p>
            </xdr:txBody>
          </xdr:sp>
          <xdr:sp macro="" textlink="">
            <xdr:nvSpPr>
              <xdr:cNvPr id="17" name="TextBox 16">
                <a:extLst>
                  <a:ext uri="{FF2B5EF4-FFF2-40B4-BE49-F238E27FC236}">
                    <a16:creationId xmlns:a16="http://schemas.microsoft.com/office/drawing/2014/main" id="{90EBDBF9-6488-6852-6F73-1536DE36BCEF}"/>
                  </a:ext>
                </a:extLst>
              </xdr:cNvPr>
              <xdr:cNvSpPr txBox="1"/>
            </xdr:nvSpPr>
            <xdr:spPr>
              <a:xfrm>
                <a:off x="4197458" y="1969576"/>
                <a:ext cx="4181313" cy="581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ysClr val="windowText" lastClr="000000"/>
                    </a:solidFill>
                  </a:rPr>
                  <a:t>TOTAL ORDERS</a:t>
                </a:r>
              </a:p>
            </xdr:txBody>
          </xdr:sp>
        </xdr:grpSp>
        <xdr:pic>
          <xdr:nvPicPr>
            <xdr:cNvPr id="15" name="Graphic 14" descr="Sort with solid fill">
              <a:extLst>
                <a:ext uri="{FF2B5EF4-FFF2-40B4-BE49-F238E27FC236}">
                  <a16:creationId xmlns:a16="http://schemas.microsoft.com/office/drawing/2014/main" id="{9474B849-2E3F-2709-F892-A64EA2E479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288432" y="4714068"/>
              <a:ext cx="914400" cy="914400"/>
            </a:xfrm>
            <a:prstGeom prst="rect">
              <a:avLst/>
            </a:prstGeom>
          </xdr:spPr>
        </xdr:pic>
      </xdr:grpSp>
      <xdr:grpSp>
        <xdr:nvGrpSpPr>
          <xdr:cNvPr id="18" name="Group 17">
            <a:extLst>
              <a:ext uri="{FF2B5EF4-FFF2-40B4-BE49-F238E27FC236}">
                <a16:creationId xmlns:a16="http://schemas.microsoft.com/office/drawing/2014/main" id="{34F5E784-C4D3-4CE4-95E0-1E159FD2DF5A}"/>
              </a:ext>
            </a:extLst>
          </xdr:cNvPr>
          <xdr:cNvGrpSpPr/>
        </xdr:nvGrpSpPr>
        <xdr:grpSpPr>
          <a:xfrm>
            <a:off x="12386963" y="847657"/>
            <a:ext cx="4017451" cy="1710931"/>
            <a:chOff x="17143611" y="4138220"/>
            <a:chExt cx="4757539" cy="1884301"/>
          </a:xfrm>
        </xdr:grpSpPr>
        <xdr:grpSp>
          <xdr:nvGrpSpPr>
            <xdr:cNvPr id="19" name="Group 18">
              <a:extLst>
                <a:ext uri="{FF2B5EF4-FFF2-40B4-BE49-F238E27FC236}">
                  <a16:creationId xmlns:a16="http://schemas.microsoft.com/office/drawing/2014/main" id="{A34F4416-F6E4-55F3-624A-96E7612E70C5}"/>
                </a:ext>
              </a:extLst>
            </xdr:cNvPr>
            <xdr:cNvGrpSpPr/>
          </xdr:nvGrpSpPr>
          <xdr:grpSpPr>
            <a:xfrm>
              <a:off x="17143611" y="4138220"/>
              <a:ext cx="4695546" cy="1884301"/>
              <a:chOff x="4039035" y="1704239"/>
              <a:chExt cx="4710614" cy="1916589"/>
            </a:xfrm>
          </xdr:grpSpPr>
          <xdr:sp macro="" textlink="'PIVOT TABLE'!R9">
            <xdr:nvSpPr>
              <xdr:cNvPr id="21" name="Rectangle: Rounded Corners 20">
                <a:extLst>
                  <a:ext uri="{FF2B5EF4-FFF2-40B4-BE49-F238E27FC236}">
                    <a16:creationId xmlns:a16="http://schemas.microsoft.com/office/drawing/2014/main" id="{232D2931-9EAA-42DA-6CFE-4DBA171402DB}"/>
                  </a:ext>
                </a:extLst>
              </xdr:cNvPr>
              <xdr:cNvSpPr/>
            </xdr:nvSpPr>
            <xdr:spPr>
              <a:xfrm>
                <a:off x="4039035" y="1704239"/>
                <a:ext cx="4710614" cy="1916589"/>
              </a:xfrm>
              <a:prstGeom prst="roundRect">
                <a:avLst/>
              </a:prstGeom>
              <a:solidFill>
                <a:schemeClr val="bg1"/>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3200" b="1"/>
              </a:p>
            </xdr:txBody>
          </xdr:sp>
          <xdr:sp macro="" textlink="">
            <xdr:nvSpPr>
              <xdr:cNvPr id="22" name="TextBox 21">
                <a:extLst>
                  <a:ext uri="{FF2B5EF4-FFF2-40B4-BE49-F238E27FC236}">
                    <a16:creationId xmlns:a16="http://schemas.microsoft.com/office/drawing/2014/main" id="{3275C9E2-8896-3623-FC1C-4F6A3B1C1B5E}"/>
                  </a:ext>
                </a:extLst>
              </xdr:cNvPr>
              <xdr:cNvSpPr txBox="1"/>
            </xdr:nvSpPr>
            <xdr:spPr>
              <a:xfrm>
                <a:off x="4197458" y="1840399"/>
                <a:ext cx="4181313" cy="1725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ysClr val="windowText" lastClr="000000"/>
                    </a:solidFill>
                  </a:rPr>
                  <a:t>HIGHT</a:t>
                </a:r>
                <a:r>
                  <a:rPr lang="en-IN" sz="2800" b="1" baseline="0">
                    <a:solidFill>
                      <a:sysClr val="windowText" lastClr="000000"/>
                    </a:solidFill>
                  </a:rPr>
                  <a:t> PROFIT AND SALES MONTH</a:t>
                </a:r>
              </a:p>
              <a:p>
                <a:pPr algn="ctr"/>
                <a:r>
                  <a:rPr lang="en-IN" sz="2800" b="1" baseline="0">
                    <a:solidFill>
                      <a:sysClr val="windowText" lastClr="000000"/>
                    </a:solidFill>
                  </a:rPr>
                  <a:t> JUN-JUL</a:t>
                </a:r>
                <a:endParaRPr lang="en-IN" sz="2800" b="1">
                  <a:solidFill>
                    <a:sysClr val="windowText" lastClr="000000"/>
                  </a:solidFill>
                </a:endParaRPr>
              </a:p>
            </xdr:txBody>
          </xdr:sp>
        </xdr:grpSp>
        <xdr:pic>
          <xdr:nvPicPr>
            <xdr:cNvPr id="20" name="Graphic 19" descr="Arrow Up with solid fill">
              <a:extLst>
                <a:ext uri="{FF2B5EF4-FFF2-40B4-BE49-F238E27FC236}">
                  <a16:creationId xmlns:a16="http://schemas.microsoft.com/office/drawing/2014/main" id="{6370CB95-2DAF-90F3-DD51-203CCE5CF17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986750" y="4778375"/>
              <a:ext cx="914400" cy="888125"/>
            </a:xfrm>
            <a:prstGeom prst="rect">
              <a:avLst/>
            </a:prstGeom>
          </xdr:spPr>
        </xdr:pic>
      </xdr:grpSp>
      <mc:AlternateContent xmlns:mc="http://schemas.openxmlformats.org/markup-compatibility/2006">
        <mc:Choice xmlns:a14="http://schemas.microsoft.com/office/drawing/2010/main" Requires="a14">
          <xdr:graphicFrame macro="">
            <xdr:nvGraphicFramePr>
              <xdr:cNvPr id="23" name="Customer Segment">
                <a:extLst>
                  <a:ext uri="{FF2B5EF4-FFF2-40B4-BE49-F238E27FC236}">
                    <a16:creationId xmlns:a16="http://schemas.microsoft.com/office/drawing/2014/main" id="{AF4B247E-38A3-43CC-881E-F19330A9AC46}"/>
                  </a:ext>
                </a:extLst>
              </xdr:cNvPr>
              <xdr:cNvGraphicFramePr/>
            </xdr:nvGraphicFramePr>
            <xdr:xfrm>
              <a:off x="16513716" y="894502"/>
              <a:ext cx="3014763" cy="1774505"/>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6440497" y="835933"/>
                <a:ext cx="3001396" cy="1657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4" name="Chart 23">
            <a:extLst>
              <a:ext uri="{FF2B5EF4-FFF2-40B4-BE49-F238E27FC236}">
                <a16:creationId xmlns:a16="http://schemas.microsoft.com/office/drawing/2014/main" id="{F0FCA2EF-0614-4FB4-88A6-AD91EBF78033}"/>
              </a:ext>
            </a:extLst>
          </xdr:cNvPr>
          <xdr:cNvGraphicFramePr>
            <a:graphicFrameLocks/>
          </xdr:cNvGraphicFramePr>
        </xdr:nvGraphicFramePr>
        <xdr:xfrm>
          <a:off x="109304" y="2700237"/>
          <a:ext cx="12683643" cy="6484584"/>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graphicFrame macro="">
            <xdr:nvGraphicFramePr>
              <xdr:cNvPr id="25" name="Category">
                <a:extLst>
                  <a:ext uri="{FF2B5EF4-FFF2-40B4-BE49-F238E27FC236}">
                    <a16:creationId xmlns:a16="http://schemas.microsoft.com/office/drawing/2014/main" id="{C9FD87DA-E7D0-410F-B552-B33CBD9E9A15}"/>
                  </a:ext>
                </a:extLst>
              </xdr:cNvPr>
              <xdr:cNvGraphicFramePr/>
            </xdr:nvGraphicFramePr>
            <xdr:xfrm>
              <a:off x="12936822" y="2762696"/>
              <a:ext cx="2917731" cy="1852579"/>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79462" y="2580487"/>
                <a:ext cx="2904794" cy="1729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354E4D23-F8C6-4D27-A05F-4A219F4BED8D}"/>
                  </a:ext>
                </a:extLst>
              </xdr:cNvPr>
              <xdr:cNvGraphicFramePr/>
            </xdr:nvGraphicFramePr>
            <xdr:xfrm>
              <a:off x="15967201" y="2762697"/>
              <a:ext cx="3576894" cy="1852578"/>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896405" y="2580488"/>
                <a:ext cx="3561035" cy="1729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7" name="Chart 26">
            <a:extLst>
              <a:ext uri="{FF2B5EF4-FFF2-40B4-BE49-F238E27FC236}">
                <a16:creationId xmlns:a16="http://schemas.microsoft.com/office/drawing/2014/main" id="{C3207AE3-2FAC-4139-980A-FB47CEE5A3BC}"/>
              </a:ext>
            </a:extLst>
          </xdr:cNvPr>
          <xdr:cNvGraphicFramePr>
            <a:graphicFrameLocks/>
          </xdr:cNvGraphicFramePr>
        </xdr:nvGraphicFramePr>
        <xdr:xfrm>
          <a:off x="12921209" y="4646506"/>
          <a:ext cx="6607271" cy="4569546"/>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8" name="Chart 27">
            <a:extLst>
              <a:ext uri="{FF2B5EF4-FFF2-40B4-BE49-F238E27FC236}">
                <a16:creationId xmlns:a16="http://schemas.microsoft.com/office/drawing/2014/main" id="{2999CE86-6093-4755-9EE7-C2AB2BA05D57}"/>
              </a:ext>
            </a:extLst>
          </xdr:cNvPr>
          <xdr:cNvGraphicFramePr>
            <a:graphicFrameLocks/>
          </xdr:cNvGraphicFramePr>
        </xdr:nvGraphicFramePr>
        <xdr:xfrm>
          <a:off x="109303" y="9278509"/>
          <a:ext cx="6513583" cy="5133908"/>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9" name="Chart 28">
            <a:extLst>
              <a:ext uri="{FF2B5EF4-FFF2-40B4-BE49-F238E27FC236}">
                <a16:creationId xmlns:a16="http://schemas.microsoft.com/office/drawing/2014/main" id="{026BCE95-F984-4522-BFAF-7A81619AFA1F}"/>
              </a:ext>
            </a:extLst>
          </xdr:cNvPr>
          <xdr:cNvGraphicFramePr>
            <a:graphicFrameLocks/>
          </xdr:cNvGraphicFramePr>
        </xdr:nvGraphicFramePr>
        <xdr:xfrm>
          <a:off x="6716575" y="9294124"/>
          <a:ext cx="12811905" cy="51182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0" name="Chart 29">
            <a:extLst>
              <a:ext uri="{FF2B5EF4-FFF2-40B4-BE49-F238E27FC236}">
                <a16:creationId xmlns:a16="http://schemas.microsoft.com/office/drawing/2014/main" id="{D2432721-415D-450C-A596-44E0E5C7DA6E}"/>
              </a:ext>
            </a:extLst>
          </xdr:cNvPr>
          <xdr:cNvGraphicFramePr>
            <a:graphicFrameLocks/>
          </xdr:cNvGraphicFramePr>
        </xdr:nvGraphicFramePr>
        <xdr:xfrm>
          <a:off x="1" y="14474876"/>
          <a:ext cx="13202273" cy="565254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1" name="Chart 30">
            <a:extLst>
              <a:ext uri="{FF2B5EF4-FFF2-40B4-BE49-F238E27FC236}">
                <a16:creationId xmlns:a16="http://schemas.microsoft.com/office/drawing/2014/main" id="{4F19C62E-A4CB-47EB-ADCF-2FE78E3CC1E7}"/>
              </a:ext>
            </a:extLst>
          </xdr:cNvPr>
          <xdr:cNvGraphicFramePr>
            <a:graphicFrameLocks/>
          </xdr:cNvGraphicFramePr>
        </xdr:nvGraphicFramePr>
        <xdr:xfrm>
          <a:off x="13264734" y="14507221"/>
          <a:ext cx="6263746" cy="5620197"/>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72.83631215278" createdVersion="8" refreshedVersion="8" minRefreshableVersion="3" recordCount="300" xr:uid="{5D7A9EB5-4C2F-47B5-9BE9-4F70B08801F9}">
  <cacheSource type="worksheet">
    <worksheetSource name="Table1"/>
  </cacheSource>
  <cacheFields count="15">
    <cacheField name="Order ID" numFmtId="49">
      <sharedItems count="3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haredItems>
    </cacheField>
    <cacheField name="Order Date" numFmtId="14">
      <sharedItems containsSemiMixedTypes="0" containsNonDate="0" containsDate="1" containsString="0" minDate="2023-01-02T00:00:00" maxDate="2024-01-02T00:00:00" count="211">
        <d v="2023-07-23T00:00:00"/>
        <d v="2023-05-22T00:00:00"/>
        <d v="2023-12-11T00:00:00"/>
        <d v="2023-01-22T00:00:00"/>
        <d v="2023-02-04T00:00:00"/>
        <d v="2023-10-16T00:00:00"/>
        <d v="2023-07-29T00:00:00"/>
        <d v="2023-11-16T00:00:00"/>
        <d v="2023-09-04T00:00:00"/>
        <d v="2023-01-27T00:00:00"/>
        <d v="2023-05-23T00:00:00"/>
        <d v="2023-07-01T00:00:00"/>
        <d v="2023-05-06T00:00:00"/>
        <d v="2023-11-10T00:00:00"/>
        <d v="2023-04-01T00:00:00"/>
        <d v="2023-02-17T00:00:00"/>
        <d v="2023-04-29T00:00:00"/>
        <d v="2023-07-14T00:00:00"/>
        <d v="2023-08-04T00:00:00"/>
        <d v="2023-12-31T00:00:00"/>
        <d v="2023-10-02T00:00:00"/>
        <d v="2023-06-20T00:00:00"/>
        <d v="2023-08-18T00:00:00"/>
        <d v="2023-12-14T00:00:00"/>
        <d v="2023-02-11T00:00:00"/>
        <d v="2023-05-20T00:00:00"/>
        <d v="2023-11-11T00:00:00"/>
        <d v="2023-05-24T00:00:00"/>
        <d v="2023-05-07T00:00:00"/>
        <d v="2023-06-15T00:00:00"/>
        <d v="2023-11-15T00:00:00"/>
        <d v="2023-04-30T00:00:00"/>
        <d v="2023-12-18T00:00:00"/>
        <d v="2023-11-04T00:00:00"/>
        <d v="2023-03-27T00:00:00"/>
        <d v="2023-03-11T00:00:00"/>
        <d v="2023-11-18T00:00:00"/>
        <d v="2023-02-22T00:00:00"/>
        <d v="2023-04-18T00:00:00"/>
        <d v="2023-05-29T00:00:00"/>
        <d v="2023-12-07T00:00:00"/>
        <d v="2023-07-27T00:00:00"/>
        <d v="2023-07-06T00:00:00"/>
        <d v="2023-07-08T00:00:00"/>
        <d v="2023-03-24T00:00:00"/>
        <d v="2023-11-12T00:00:00"/>
        <d v="2023-08-29T00:00:00"/>
        <d v="2023-08-09T00:00:00"/>
        <d v="2023-11-22T00:00:00"/>
        <d v="2023-07-15T00:00:00"/>
        <d v="2023-01-11T00:00:00"/>
        <d v="2023-01-02T00:00:00"/>
        <d v="2023-03-30T00:00:00"/>
        <d v="2023-01-10T00:00:00"/>
        <d v="2023-10-04T00:00:00"/>
        <d v="2023-12-21T00:00:00"/>
        <d v="2023-10-08T00:00:00"/>
        <d v="2023-03-14T00:00:00"/>
        <d v="2023-06-14T00:00:00"/>
        <d v="2023-02-01T00:00:00"/>
        <d v="2023-06-28T00:00:00"/>
        <d v="2023-08-30T00:00:00"/>
        <d v="2023-08-06T00:00:00"/>
        <d v="2023-09-27T00:00:00"/>
        <d v="2023-10-11T00:00:00"/>
        <d v="2023-01-26T00:00:00"/>
        <d v="2023-08-19T00:00:00"/>
        <d v="2023-02-16T00:00:00"/>
        <d v="2023-03-03T00:00:00"/>
        <d v="2023-10-03T00:00:00"/>
        <d v="2023-07-18T00:00:00"/>
        <d v="2023-04-26T00:00:00"/>
        <d v="2023-05-31T00:00:00"/>
        <d v="2023-08-26T00:00:00"/>
        <d v="2023-11-03T00:00:00"/>
        <d v="2023-12-27T00:00:00"/>
        <d v="2023-08-02T00:00:00"/>
        <d v="2023-06-22T00:00:00"/>
        <d v="2023-05-10T00:00:00"/>
        <d v="2023-10-17T00:00:00"/>
        <d v="2023-04-22T00:00:00"/>
        <d v="2023-08-03T00:00:00"/>
        <d v="2023-01-16T00:00:00"/>
        <d v="2023-08-10T00:00:00"/>
        <d v="2023-07-11T00:00:00"/>
        <d v="2023-12-03T00:00:00"/>
        <d v="2023-02-02T00:00:00"/>
        <d v="2023-06-26T00:00:00"/>
        <d v="2023-06-07T00:00:00"/>
        <d v="2023-10-23T00:00:00"/>
        <d v="2023-03-29T00:00:00"/>
        <d v="2023-02-18T00:00:00"/>
        <d v="2023-02-28T00:00:00"/>
        <d v="2023-02-08T00:00:00"/>
        <d v="2023-12-22T00:00:00"/>
        <d v="2023-01-29T00:00:00"/>
        <d v="2023-09-20T00:00:00"/>
        <d v="2023-06-04T00:00:00"/>
        <d v="2023-09-29T00:00:00"/>
        <d v="2023-06-01T00:00:00"/>
        <d v="2023-08-08T00:00:00"/>
        <d v="2023-02-21T00:00:00"/>
        <d v="2023-02-23T00:00:00"/>
        <d v="2023-03-15T00:00:00"/>
        <d v="2023-11-28T00:00:00"/>
        <d v="2023-11-21T00:00:00"/>
        <d v="2023-06-10T00:00:00"/>
        <d v="2023-06-23T00:00:00"/>
        <d v="2023-07-03T00:00:00"/>
        <d v="2023-03-26T00:00:00"/>
        <d v="2023-05-04T00:00:00"/>
        <d v="2023-08-11T00:00:00"/>
        <d v="2023-04-07T00:00:00"/>
        <d v="2023-01-09T00:00:00"/>
        <d v="2023-08-15T00:00:00"/>
        <d v="2023-12-09T00:00:00"/>
        <d v="2023-07-07T00:00:00"/>
        <d v="2023-12-29T00:00:00"/>
        <d v="2023-04-04T00:00:00"/>
        <d v="2023-12-04T00:00:00"/>
        <d v="2023-07-02T00:00:00"/>
        <d v="2023-09-07T00:00:00"/>
        <d v="2023-10-27T00:00:00"/>
        <d v="2023-06-25T00:00:00"/>
        <d v="2023-03-01T00:00:00"/>
        <d v="2023-05-11T00:00:00"/>
        <d v="2023-10-09T00:00:00"/>
        <d v="2023-09-15T00:00:00"/>
        <d v="2023-09-16T00:00:00"/>
        <d v="2023-07-10T00:00:00"/>
        <d v="2023-04-17T00:00:00"/>
        <d v="2023-11-29T00:00:00"/>
        <d v="2023-06-08T00:00:00"/>
        <d v="2023-02-10T00:00:00"/>
        <d v="2023-01-30T00:00:00"/>
        <d v="2023-04-14T00:00:00"/>
        <d v="2023-01-20T00:00:00"/>
        <d v="2023-10-19T00:00:00"/>
        <d v="2023-08-01T00:00:00"/>
        <d v="2023-12-12T00:00:00"/>
        <d v="2023-08-07T00:00:00"/>
        <d v="2023-05-05T00:00:00"/>
        <d v="2023-02-25T00:00:00"/>
        <d v="2023-07-13T00:00:00"/>
        <d v="2023-06-29T00:00:00"/>
        <d v="2023-12-25T00:00:00"/>
        <d v="2023-03-18T00:00:00"/>
        <d v="2023-10-06T00:00:00"/>
        <d v="2023-03-06T00:00:00"/>
        <d v="2023-05-18T00:00:00"/>
        <d v="2023-02-26T00:00:00"/>
        <d v="2023-11-20T00:00:00"/>
        <d v="2023-04-11T00:00:00"/>
        <d v="2023-07-28T00:00:00"/>
        <d v="2023-09-06T00:00:00"/>
        <d v="2023-03-25T00:00:00"/>
        <d v="2023-02-06T00:00:00"/>
        <d v="2023-10-01T00:00:00"/>
        <d v="2023-01-25T00:00:00"/>
        <d v="2023-03-28T00:00:00"/>
        <d v="2023-07-12T00:00:00"/>
        <d v="2023-12-05T00:00:00"/>
        <d v="2023-05-26T00:00:00"/>
        <d v="2023-12-16T00:00:00"/>
        <d v="2023-07-17T00:00:00"/>
        <d v="2023-09-26T00:00:00"/>
        <d v="2023-02-03T00:00:00"/>
        <d v="2023-10-05T00:00:00"/>
        <d v="2024-01-01T00:00:00"/>
        <d v="2023-04-16T00:00:00"/>
        <d v="2023-08-28T00:00:00"/>
        <d v="2023-04-05T00:00:00"/>
        <d v="2023-04-28T00:00:00"/>
        <d v="2023-06-09T00:00:00"/>
        <d v="2023-05-08T00:00:00"/>
        <d v="2023-07-09T00:00:00"/>
        <d v="2023-01-15T00:00:00"/>
        <d v="2023-07-04T00:00:00"/>
        <d v="2023-10-21T00:00:00"/>
        <d v="2023-04-09T00:00:00"/>
        <d v="2023-07-20T00:00:00"/>
        <d v="2023-08-24T00:00:00"/>
        <d v="2023-05-02T00:00:00"/>
        <d v="2023-09-14T00:00:00"/>
        <d v="2023-12-13T00:00:00"/>
        <d v="2023-12-15T00:00:00"/>
        <d v="2023-08-12T00:00:00"/>
        <d v="2023-06-03T00:00:00"/>
        <d v="2023-11-27T00:00:00"/>
        <d v="2023-07-16T00:00:00"/>
        <d v="2023-04-20T00:00:00"/>
        <d v="2023-05-30T00:00:00"/>
        <d v="2023-07-22T00:00:00"/>
        <d v="2023-12-24T00:00:00"/>
        <d v="2023-10-12T00:00:00"/>
        <d v="2023-02-14T00:00:00"/>
        <d v="2023-07-26T00:00:00"/>
        <d v="2023-11-01T00:00:00"/>
        <d v="2023-07-24T00:00:00"/>
        <d v="2023-11-17T00:00:00"/>
        <d v="2023-11-02T00:00:00"/>
        <d v="2023-01-07T00:00:00"/>
        <d v="2023-11-30T00:00:00"/>
        <d v="2023-06-05T00:00:00"/>
        <d v="2023-10-18T00:00:00"/>
        <d v="2023-05-27T00:00:00"/>
        <d v="2023-12-01T00:00:00"/>
        <d v="2023-01-19T00:00:00"/>
        <d v="2023-09-17T00:00:00"/>
        <d v="2023-01-03T00:00:00"/>
        <d v="2023-06-11T00:00:00"/>
      </sharedItems>
      <fieldGroup par="14"/>
    </cacheField>
    <cacheField name="Ship Date" numFmtId="14">
      <sharedItems containsSemiMixedTypes="0" containsNonDate="0" containsDate="1" containsString="0" minDate="2023-01-06T00:00:00" maxDate="2024-01-07T00:00:00"/>
    </cacheField>
    <cacheField name="Region" numFmtId="49">
      <sharedItems count="4">
        <s v="West"/>
        <s v="East"/>
        <s v="Central"/>
        <s v="South"/>
      </sharedItems>
    </cacheField>
    <cacheField name="State" numFmtId="49">
      <sharedItems/>
    </cacheField>
    <cacheField name="Category" numFmtId="49">
      <sharedItems count="3">
        <s v="Office Supplies"/>
        <s v="Technology"/>
        <s v="Furniture"/>
      </sharedItems>
    </cacheField>
    <cacheField name="Sub-Category" numFmtId="49">
      <sharedItems count="9">
        <s v="Paper"/>
        <s v="Storage"/>
        <s v="Binders"/>
        <s v="Accessories"/>
        <s v="Tables"/>
        <s v="Phones"/>
        <s v="Chairs"/>
        <s v="Copiers"/>
        <s v="Bookcases"/>
      </sharedItems>
    </cacheField>
    <cacheField name="Customer Segment" numFmtId="49">
      <sharedItems count="3">
        <s v="Home Office"/>
        <s v="Corporate"/>
        <s v="Consumer"/>
      </sharedItems>
    </cacheField>
    <cacheField name="Sales" numFmtId="164">
      <sharedItems containsSemiMixedTypes="0" containsString="0" containsNumber="1" minValue="23.77" maxValue="994.08"/>
    </cacheField>
    <cacheField name="Quantity" numFmtId="1">
      <sharedItems containsSemiMixedTypes="0" containsString="0" containsNumber="1" containsInteger="1" minValue="1" maxValue="10" count="10">
        <n v="5"/>
        <n v="4"/>
        <n v="8"/>
        <n v="2"/>
        <n v="3"/>
        <n v="1"/>
        <n v="7"/>
        <n v="9"/>
        <n v="6"/>
        <n v="10"/>
      </sharedItems>
    </cacheField>
    <cacheField name="Discount" numFmtId="2">
      <sharedItems containsSemiMixedTypes="0" containsString="0" containsNumber="1" minValue="0" maxValue="0.3"/>
    </cacheField>
    <cacheField name="Profit" numFmtId="2">
      <sharedItems containsSemiMixedTypes="0" containsString="0" containsNumber="1" minValue="-175.5" maxValue="270.33"/>
    </cacheField>
    <cacheField name="Months (Order Date)" numFmtId="0" databaseField="0">
      <fieldGroup base="1">
        <rangePr groupBy="months" startDate="2023-01-02T00:00:00" endDate="2024-01-02T00:00:00"/>
        <groupItems count="14">
          <s v="&lt;02-01-2023"/>
          <s v="Jan"/>
          <s v="Feb"/>
          <s v="Mar"/>
          <s v="Apr"/>
          <s v="May"/>
          <s v="Jun"/>
          <s v="Jul"/>
          <s v="Aug"/>
          <s v="Sep"/>
          <s v="Oct"/>
          <s v="Nov"/>
          <s v="Dec"/>
          <s v="&gt;02-01-2024"/>
        </groupItems>
      </fieldGroup>
    </cacheField>
    <cacheField name="Quarters (Order Date)" numFmtId="0" databaseField="0">
      <fieldGroup base="1">
        <rangePr groupBy="quarters" startDate="2023-01-02T00:00:00" endDate="2024-01-02T00:00:00"/>
        <groupItems count="6">
          <s v="&lt;02-01-2023"/>
          <s v="Qtr1"/>
          <s v="Qtr2"/>
          <s v="Qtr3"/>
          <s v="Qtr4"/>
          <s v="&gt;02-01-2024"/>
        </groupItems>
      </fieldGroup>
    </cacheField>
    <cacheField name="Years (Order Date)" numFmtId="0" databaseField="0">
      <fieldGroup base="1">
        <rangePr groupBy="years" startDate="2023-01-02T00:00:00" endDate="2024-01-02T00:00:00"/>
        <groupItems count="4">
          <s v="&lt;02-01-2023"/>
          <s v="2023"/>
          <s v="2024"/>
          <s v="&gt;02-01-2024"/>
        </groupItems>
      </fieldGroup>
    </cacheField>
  </cacheFields>
  <extLst>
    <ext xmlns:x14="http://schemas.microsoft.com/office/spreadsheetml/2009/9/main" uri="{725AE2AE-9491-48be-B2B4-4EB974FC3084}">
      <x14:pivotCacheDefinition pivotCacheId="133953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d v="2023-07-29T00:00:00"/>
    <x v="0"/>
    <s v="California"/>
    <x v="0"/>
    <x v="0"/>
    <x v="0"/>
    <n v="522.99"/>
    <x v="0"/>
    <n v="0.15"/>
    <n v="-71.63"/>
  </r>
  <r>
    <x v="1"/>
    <x v="1"/>
    <d v="2023-05-29T00:00:00"/>
    <x v="1"/>
    <s v="New York"/>
    <x v="0"/>
    <x v="1"/>
    <x v="1"/>
    <n v="436.02"/>
    <x v="0"/>
    <n v="0"/>
    <n v="8.0299999999999994"/>
  </r>
  <r>
    <x v="2"/>
    <x v="2"/>
    <d v="2023-12-15T00:00:00"/>
    <x v="1"/>
    <s v="Illinois"/>
    <x v="0"/>
    <x v="2"/>
    <x v="0"/>
    <n v="776.92"/>
    <x v="1"/>
    <n v="0.3"/>
    <n v="-19.600000000000001"/>
  </r>
  <r>
    <x v="3"/>
    <x v="3"/>
    <d v="2023-01-23T00:00:00"/>
    <x v="2"/>
    <s v="Florida"/>
    <x v="0"/>
    <x v="2"/>
    <x v="1"/>
    <n v="522.23"/>
    <x v="2"/>
    <n v="0.3"/>
    <n v="-2.9"/>
  </r>
  <r>
    <x v="4"/>
    <x v="4"/>
    <d v="2023-02-06T00:00:00"/>
    <x v="3"/>
    <s v="New York"/>
    <x v="0"/>
    <x v="1"/>
    <x v="1"/>
    <n v="822.93"/>
    <x v="1"/>
    <n v="0"/>
    <n v="191.06"/>
  </r>
  <r>
    <x v="5"/>
    <x v="5"/>
    <d v="2023-10-17T00:00:00"/>
    <x v="1"/>
    <s v="Florida"/>
    <x v="1"/>
    <x v="3"/>
    <x v="1"/>
    <n v="579.34"/>
    <x v="3"/>
    <n v="0"/>
    <n v="-97.55"/>
  </r>
  <r>
    <x v="6"/>
    <x v="6"/>
    <d v="2023-07-31T00:00:00"/>
    <x v="0"/>
    <s v="New York"/>
    <x v="2"/>
    <x v="4"/>
    <x v="1"/>
    <n v="516.23"/>
    <x v="2"/>
    <n v="0.2"/>
    <n v="35.19"/>
  </r>
  <r>
    <x v="7"/>
    <x v="7"/>
    <d v="2023-11-21T00:00:00"/>
    <x v="0"/>
    <s v="Florida"/>
    <x v="0"/>
    <x v="2"/>
    <x v="0"/>
    <n v="296.33"/>
    <x v="4"/>
    <n v="0.1"/>
    <n v="-22.91"/>
  </r>
  <r>
    <x v="8"/>
    <x v="8"/>
    <d v="2023-09-09T00:00:00"/>
    <x v="1"/>
    <s v="Illinois"/>
    <x v="1"/>
    <x v="5"/>
    <x v="2"/>
    <n v="699.94"/>
    <x v="0"/>
    <n v="0.2"/>
    <n v="155.93"/>
  </r>
  <r>
    <x v="9"/>
    <x v="9"/>
    <d v="2023-01-29T00:00:00"/>
    <x v="1"/>
    <s v="Florida"/>
    <x v="0"/>
    <x v="0"/>
    <x v="2"/>
    <n v="433.95"/>
    <x v="4"/>
    <n v="0"/>
    <n v="20.07"/>
  </r>
  <r>
    <x v="10"/>
    <x v="1"/>
    <d v="2023-05-24T00:00:00"/>
    <x v="3"/>
    <s v="Texas"/>
    <x v="0"/>
    <x v="0"/>
    <x v="2"/>
    <n v="907.54"/>
    <x v="5"/>
    <n v="0.2"/>
    <n v="-54.19"/>
  </r>
  <r>
    <x v="11"/>
    <x v="10"/>
    <d v="2023-05-24T00:00:00"/>
    <x v="2"/>
    <s v="California"/>
    <x v="0"/>
    <x v="0"/>
    <x v="1"/>
    <n v="994.08"/>
    <x v="2"/>
    <n v="0"/>
    <n v="54.6"/>
  </r>
  <r>
    <x v="12"/>
    <x v="11"/>
    <d v="2023-07-03T00:00:00"/>
    <x v="3"/>
    <s v="Texas"/>
    <x v="2"/>
    <x v="6"/>
    <x v="1"/>
    <n v="917.36"/>
    <x v="0"/>
    <n v="0.15"/>
    <n v="-96.72"/>
  </r>
  <r>
    <x v="13"/>
    <x v="8"/>
    <d v="2023-09-07T00:00:00"/>
    <x v="3"/>
    <s v="Texas"/>
    <x v="2"/>
    <x v="4"/>
    <x v="1"/>
    <n v="199.39"/>
    <x v="6"/>
    <n v="0"/>
    <n v="-36.36"/>
  </r>
  <r>
    <x v="14"/>
    <x v="12"/>
    <d v="2023-05-07T00:00:00"/>
    <x v="1"/>
    <s v="Washington"/>
    <x v="2"/>
    <x v="4"/>
    <x v="0"/>
    <n v="38.229999999999997"/>
    <x v="4"/>
    <n v="0.3"/>
    <n v="-2.91"/>
  </r>
  <r>
    <x v="15"/>
    <x v="13"/>
    <d v="2023-11-13T00:00:00"/>
    <x v="0"/>
    <s v="New York"/>
    <x v="1"/>
    <x v="5"/>
    <x v="1"/>
    <n v="922.22"/>
    <x v="7"/>
    <n v="0.1"/>
    <n v="-157.35"/>
  </r>
  <r>
    <x v="16"/>
    <x v="14"/>
    <d v="2023-04-04T00:00:00"/>
    <x v="0"/>
    <s v="New York"/>
    <x v="0"/>
    <x v="1"/>
    <x v="1"/>
    <n v="352.91"/>
    <x v="8"/>
    <n v="0.15"/>
    <n v="79.14"/>
  </r>
  <r>
    <x v="17"/>
    <x v="15"/>
    <d v="2023-02-21T00:00:00"/>
    <x v="1"/>
    <s v="New York"/>
    <x v="1"/>
    <x v="7"/>
    <x v="0"/>
    <n v="952.34"/>
    <x v="1"/>
    <n v="0"/>
    <n v="75.77"/>
  </r>
  <r>
    <x v="18"/>
    <x v="16"/>
    <d v="2023-05-05T00:00:00"/>
    <x v="0"/>
    <s v="New York"/>
    <x v="0"/>
    <x v="2"/>
    <x v="1"/>
    <n v="863.13"/>
    <x v="1"/>
    <n v="0"/>
    <n v="-91.53"/>
  </r>
  <r>
    <x v="19"/>
    <x v="8"/>
    <d v="2023-09-06T00:00:00"/>
    <x v="0"/>
    <s v="Texas"/>
    <x v="2"/>
    <x v="4"/>
    <x v="0"/>
    <n v="58.45"/>
    <x v="1"/>
    <n v="0.15"/>
    <n v="1.71"/>
  </r>
  <r>
    <x v="20"/>
    <x v="17"/>
    <d v="2023-07-18T00:00:00"/>
    <x v="2"/>
    <s v="New York"/>
    <x v="1"/>
    <x v="5"/>
    <x v="2"/>
    <n v="477.89"/>
    <x v="0"/>
    <n v="0.3"/>
    <n v="-20.71"/>
  </r>
  <r>
    <x v="21"/>
    <x v="18"/>
    <d v="2023-08-06T00:00:00"/>
    <x v="0"/>
    <s v="New York"/>
    <x v="1"/>
    <x v="7"/>
    <x v="0"/>
    <n v="277.43"/>
    <x v="1"/>
    <n v="0.2"/>
    <n v="1.65"/>
  </r>
  <r>
    <x v="22"/>
    <x v="19"/>
    <d v="2024-01-06T00:00:00"/>
    <x v="2"/>
    <s v="Florida"/>
    <x v="0"/>
    <x v="0"/>
    <x v="1"/>
    <n v="727.36"/>
    <x v="2"/>
    <n v="0"/>
    <n v="193.61"/>
  </r>
  <r>
    <x v="23"/>
    <x v="20"/>
    <d v="2023-10-08T00:00:00"/>
    <x v="2"/>
    <s v="Illinois"/>
    <x v="0"/>
    <x v="1"/>
    <x v="0"/>
    <n v="73.930000000000007"/>
    <x v="1"/>
    <n v="0"/>
    <n v="15.08"/>
  </r>
  <r>
    <x v="24"/>
    <x v="21"/>
    <d v="2023-06-24T00:00:00"/>
    <x v="2"/>
    <s v="Illinois"/>
    <x v="1"/>
    <x v="5"/>
    <x v="0"/>
    <n v="428.22"/>
    <x v="2"/>
    <n v="0.2"/>
    <n v="73.040000000000006"/>
  </r>
  <r>
    <x v="25"/>
    <x v="22"/>
    <d v="2023-08-25T00:00:00"/>
    <x v="2"/>
    <s v="Illinois"/>
    <x v="2"/>
    <x v="8"/>
    <x v="2"/>
    <n v="633.32000000000005"/>
    <x v="1"/>
    <n v="0"/>
    <n v="69.930000000000007"/>
  </r>
  <r>
    <x v="26"/>
    <x v="23"/>
    <d v="2023-12-19T00:00:00"/>
    <x v="2"/>
    <s v="Illinois"/>
    <x v="1"/>
    <x v="7"/>
    <x v="2"/>
    <n v="155.51"/>
    <x v="1"/>
    <n v="0.3"/>
    <n v="-1.3"/>
  </r>
  <r>
    <x v="27"/>
    <x v="24"/>
    <d v="2023-02-13T00:00:00"/>
    <x v="2"/>
    <s v="Washington"/>
    <x v="1"/>
    <x v="5"/>
    <x v="0"/>
    <n v="453.45"/>
    <x v="3"/>
    <n v="0.2"/>
    <n v="95.5"/>
  </r>
  <r>
    <x v="28"/>
    <x v="25"/>
    <d v="2023-05-23T00:00:00"/>
    <x v="1"/>
    <s v="Florida"/>
    <x v="0"/>
    <x v="1"/>
    <x v="2"/>
    <n v="113.34"/>
    <x v="0"/>
    <n v="0"/>
    <n v="-16.43"/>
  </r>
  <r>
    <x v="29"/>
    <x v="26"/>
    <d v="2023-11-13T00:00:00"/>
    <x v="1"/>
    <s v="Texas"/>
    <x v="2"/>
    <x v="6"/>
    <x v="2"/>
    <n v="74.900000000000006"/>
    <x v="9"/>
    <n v="0.3"/>
    <n v="1.01"/>
  </r>
  <r>
    <x v="30"/>
    <x v="27"/>
    <d v="2023-05-28T00:00:00"/>
    <x v="0"/>
    <s v="Illinois"/>
    <x v="0"/>
    <x v="1"/>
    <x v="2"/>
    <n v="386.29"/>
    <x v="8"/>
    <n v="0"/>
    <n v="37.47"/>
  </r>
  <r>
    <x v="31"/>
    <x v="28"/>
    <d v="2023-05-14T00:00:00"/>
    <x v="0"/>
    <s v="California"/>
    <x v="2"/>
    <x v="6"/>
    <x v="2"/>
    <n v="264.14"/>
    <x v="5"/>
    <n v="0.1"/>
    <n v="-32.729999999999997"/>
  </r>
  <r>
    <x v="32"/>
    <x v="29"/>
    <d v="2023-06-16T00:00:00"/>
    <x v="2"/>
    <s v="New York"/>
    <x v="2"/>
    <x v="4"/>
    <x v="1"/>
    <n v="303.83"/>
    <x v="2"/>
    <n v="0.2"/>
    <n v="17.809999999999999"/>
  </r>
  <r>
    <x v="33"/>
    <x v="30"/>
    <d v="2023-11-20T00:00:00"/>
    <x v="1"/>
    <s v="Washington"/>
    <x v="0"/>
    <x v="2"/>
    <x v="2"/>
    <n v="993.67"/>
    <x v="0"/>
    <n v="0.3"/>
    <n v="-101.17"/>
  </r>
  <r>
    <x v="34"/>
    <x v="31"/>
    <d v="2023-05-06T00:00:00"/>
    <x v="0"/>
    <s v="Washington"/>
    <x v="2"/>
    <x v="4"/>
    <x v="0"/>
    <n v="270.93"/>
    <x v="9"/>
    <n v="0.1"/>
    <n v="-11.94"/>
  </r>
  <r>
    <x v="35"/>
    <x v="32"/>
    <d v="2023-12-23T00:00:00"/>
    <x v="3"/>
    <s v="New York"/>
    <x v="0"/>
    <x v="2"/>
    <x v="1"/>
    <n v="857.77"/>
    <x v="3"/>
    <n v="0.1"/>
    <n v="-81.010000000000005"/>
  </r>
  <r>
    <x v="36"/>
    <x v="33"/>
    <d v="2023-11-05T00:00:00"/>
    <x v="2"/>
    <s v="New York"/>
    <x v="2"/>
    <x v="6"/>
    <x v="0"/>
    <n v="195.19"/>
    <x v="9"/>
    <n v="0.15"/>
    <n v="-14.27"/>
  </r>
  <r>
    <x v="37"/>
    <x v="34"/>
    <d v="2023-03-29T00:00:00"/>
    <x v="2"/>
    <s v="Texas"/>
    <x v="0"/>
    <x v="2"/>
    <x v="0"/>
    <n v="872.86"/>
    <x v="3"/>
    <n v="0.15"/>
    <n v="-45.01"/>
  </r>
  <r>
    <x v="38"/>
    <x v="35"/>
    <d v="2023-03-13T00:00:00"/>
    <x v="0"/>
    <s v="New York"/>
    <x v="0"/>
    <x v="1"/>
    <x v="0"/>
    <n v="982.02"/>
    <x v="8"/>
    <n v="0"/>
    <n v="270.33"/>
  </r>
  <r>
    <x v="39"/>
    <x v="6"/>
    <d v="2023-08-04T00:00:00"/>
    <x v="1"/>
    <s v="Florida"/>
    <x v="2"/>
    <x v="4"/>
    <x v="1"/>
    <n v="164.29"/>
    <x v="9"/>
    <n v="0.3"/>
    <n v="13.44"/>
  </r>
  <r>
    <x v="40"/>
    <x v="36"/>
    <d v="2023-11-25T00:00:00"/>
    <x v="1"/>
    <s v="Texas"/>
    <x v="2"/>
    <x v="8"/>
    <x v="0"/>
    <n v="53.58"/>
    <x v="5"/>
    <n v="0"/>
    <n v="13.5"/>
  </r>
  <r>
    <x v="41"/>
    <x v="37"/>
    <d v="2023-02-25T00:00:00"/>
    <x v="0"/>
    <s v="New York"/>
    <x v="2"/>
    <x v="6"/>
    <x v="2"/>
    <n v="262.88"/>
    <x v="9"/>
    <n v="0.1"/>
    <n v="-8.1999999999999993"/>
  </r>
  <r>
    <x v="42"/>
    <x v="38"/>
    <d v="2023-04-25T00:00:00"/>
    <x v="1"/>
    <s v="New York"/>
    <x v="2"/>
    <x v="4"/>
    <x v="1"/>
    <n v="152.32"/>
    <x v="3"/>
    <n v="0.2"/>
    <n v="-2.83"/>
  </r>
  <r>
    <x v="43"/>
    <x v="39"/>
    <d v="2023-05-31T00:00:00"/>
    <x v="3"/>
    <s v="California"/>
    <x v="2"/>
    <x v="6"/>
    <x v="2"/>
    <n v="938.59"/>
    <x v="9"/>
    <n v="0.15"/>
    <n v="147.07"/>
  </r>
  <r>
    <x v="44"/>
    <x v="40"/>
    <d v="2023-12-08T00:00:00"/>
    <x v="3"/>
    <s v="California"/>
    <x v="1"/>
    <x v="3"/>
    <x v="0"/>
    <n v="935.66"/>
    <x v="8"/>
    <n v="0"/>
    <n v="-169.63"/>
  </r>
  <r>
    <x v="45"/>
    <x v="41"/>
    <d v="2023-08-03T00:00:00"/>
    <x v="3"/>
    <s v="New York"/>
    <x v="1"/>
    <x v="3"/>
    <x v="1"/>
    <n v="269.58999999999997"/>
    <x v="2"/>
    <n v="0.1"/>
    <n v="5.18"/>
  </r>
  <r>
    <x v="46"/>
    <x v="42"/>
    <d v="2023-07-09T00:00:00"/>
    <x v="3"/>
    <s v="California"/>
    <x v="2"/>
    <x v="6"/>
    <x v="0"/>
    <n v="714.22"/>
    <x v="8"/>
    <n v="0.1"/>
    <n v="60.16"/>
  </r>
  <r>
    <x v="47"/>
    <x v="43"/>
    <d v="2023-07-10T00:00:00"/>
    <x v="3"/>
    <s v="New York"/>
    <x v="0"/>
    <x v="2"/>
    <x v="0"/>
    <n v="558.79"/>
    <x v="2"/>
    <n v="0.3"/>
    <n v="78.88"/>
  </r>
  <r>
    <x v="48"/>
    <x v="44"/>
    <d v="2023-03-25T00:00:00"/>
    <x v="1"/>
    <s v="Florida"/>
    <x v="2"/>
    <x v="4"/>
    <x v="2"/>
    <n v="168.09"/>
    <x v="0"/>
    <n v="0.3"/>
    <n v="4.4000000000000004"/>
  </r>
  <r>
    <x v="49"/>
    <x v="3"/>
    <d v="2023-01-25T00:00:00"/>
    <x v="0"/>
    <s v="Illinois"/>
    <x v="0"/>
    <x v="0"/>
    <x v="0"/>
    <n v="928.02"/>
    <x v="2"/>
    <n v="0"/>
    <n v="35.81"/>
  </r>
  <r>
    <x v="50"/>
    <x v="45"/>
    <d v="2023-11-13T00:00:00"/>
    <x v="0"/>
    <s v="California"/>
    <x v="2"/>
    <x v="4"/>
    <x v="2"/>
    <n v="407.84"/>
    <x v="6"/>
    <n v="0.15"/>
    <n v="29.56"/>
  </r>
  <r>
    <x v="51"/>
    <x v="46"/>
    <d v="2023-09-05T00:00:00"/>
    <x v="0"/>
    <s v="Florida"/>
    <x v="1"/>
    <x v="3"/>
    <x v="2"/>
    <n v="739.59"/>
    <x v="2"/>
    <n v="0.2"/>
    <n v="-21.62"/>
  </r>
  <r>
    <x v="52"/>
    <x v="47"/>
    <d v="2023-08-16T00:00:00"/>
    <x v="0"/>
    <s v="Illinois"/>
    <x v="2"/>
    <x v="6"/>
    <x v="1"/>
    <n v="67.709999999999994"/>
    <x v="2"/>
    <n v="0.3"/>
    <n v="3.07"/>
  </r>
  <r>
    <x v="53"/>
    <x v="48"/>
    <d v="2023-11-24T00:00:00"/>
    <x v="1"/>
    <s v="Florida"/>
    <x v="0"/>
    <x v="1"/>
    <x v="1"/>
    <n v="148.72999999999999"/>
    <x v="3"/>
    <n v="0"/>
    <n v="41.78"/>
  </r>
  <r>
    <x v="54"/>
    <x v="49"/>
    <d v="2023-07-20T00:00:00"/>
    <x v="2"/>
    <s v="Illinois"/>
    <x v="0"/>
    <x v="1"/>
    <x v="1"/>
    <n v="939.32"/>
    <x v="4"/>
    <n v="0.15"/>
    <n v="85.34"/>
  </r>
  <r>
    <x v="55"/>
    <x v="50"/>
    <d v="2023-01-15T00:00:00"/>
    <x v="3"/>
    <s v="Illinois"/>
    <x v="2"/>
    <x v="6"/>
    <x v="2"/>
    <n v="824.56"/>
    <x v="2"/>
    <n v="0.1"/>
    <n v="-16.21"/>
  </r>
  <r>
    <x v="56"/>
    <x v="51"/>
    <d v="2023-01-06T00:00:00"/>
    <x v="3"/>
    <s v="Florida"/>
    <x v="1"/>
    <x v="5"/>
    <x v="2"/>
    <n v="842.23"/>
    <x v="2"/>
    <n v="0.1"/>
    <n v="209.69"/>
  </r>
  <r>
    <x v="57"/>
    <x v="51"/>
    <d v="2023-01-08T00:00:00"/>
    <x v="0"/>
    <s v="New York"/>
    <x v="1"/>
    <x v="3"/>
    <x v="2"/>
    <n v="241.69"/>
    <x v="3"/>
    <n v="0.2"/>
    <n v="-29.54"/>
  </r>
  <r>
    <x v="58"/>
    <x v="3"/>
    <d v="2023-01-28T00:00:00"/>
    <x v="1"/>
    <s v="Texas"/>
    <x v="2"/>
    <x v="8"/>
    <x v="1"/>
    <n v="96.27"/>
    <x v="1"/>
    <n v="0.15"/>
    <n v="2.4900000000000002"/>
  </r>
  <r>
    <x v="59"/>
    <x v="52"/>
    <d v="2023-03-31T00:00:00"/>
    <x v="3"/>
    <s v="Texas"/>
    <x v="2"/>
    <x v="8"/>
    <x v="2"/>
    <n v="891.68"/>
    <x v="3"/>
    <n v="0"/>
    <n v="10.42"/>
  </r>
  <r>
    <x v="60"/>
    <x v="53"/>
    <d v="2023-01-13T00:00:00"/>
    <x v="3"/>
    <s v="California"/>
    <x v="1"/>
    <x v="3"/>
    <x v="0"/>
    <n v="356.72"/>
    <x v="6"/>
    <n v="0.1"/>
    <n v="-43.04"/>
  </r>
  <r>
    <x v="61"/>
    <x v="54"/>
    <d v="2023-10-05T00:00:00"/>
    <x v="0"/>
    <s v="Florida"/>
    <x v="1"/>
    <x v="5"/>
    <x v="0"/>
    <n v="541.20000000000005"/>
    <x v="0"/>
    <n v="0"/>
    <n v="152.47"/>
  </r>
  <r>
    <x v="62"/>
    <x v="55"/>
    <d v="2023-12-24T00:00:00"/>
    <x v="3"/>
    <s v="Florida"/>
    <x v="0"/>
    <x v="2"/>
    <x v="1"/>
    <n v="341.94"/>
    <x v="6"/>
    <n v="0.2"/>
    <n v="76.959999999999994"/>
  </r>
  <r>
    <x v="63"/>
    <x v="56"/>
    <d v="2023-10-12T00:00:00"/>
    <x v="1"/>
    <s v="California"/>
    <x v="1"/>
    <x v="7"/>
    <x v="1"/>
    <n v="913.55"/>
    <x v="9"/>
    <n v="0.15"/>
    <n v="-67.64"/>
  </r>
  <r>
    <x v="64"/>
    <x v="57"/>
    <d v="2023-03-15T00:00:00"/>
    <x v="0"/>
    <s v="Washington"/>
    <x v="1"/>
    <x v="5"/>
    <x v="2"/>
    <n v="618.69000000000005"/>
    <x v="3"/>
    <n v="0.1"/>
    <n v="116.01"/>
  </r>
  <r>
    <x v="65"/>
    <x v="58"/>
    <d v="2023-06-21T00:00:00"/>
    <x v="0"/>
    <s v="Washington"/>
    <x v="2"/>
    <x v="6"/>
    <x v="1"/>
    <n v="884.17"/>
    <x v="6"/>
    <n v="0.1"/>
    <n v="229.67"/>
  </r>
  <r>
    <x v="66"/>
    <x v="59"/>
    <d v="2023-02-06T00:00:00"/>
    <x v="2"/>
    <s v="Texas"/>
    <x v="1"/>
    <x v="7"/>
    <x v="1"/>
    <n v="791.08"/>
    <x v="3"/>
    <n v="0"/>
    <n v="-58.97"/>
  </r>
  <r>
    <x v="67"/>
    <x v="60"/>
    <d v="2023-07-05T00:00:00"/>
    <x v="1"/>
    <s v="New York"/>
    <x v="2"/>
    <x v="8"/>
    <x v="0"/>
    <n v="247.14"/>
    <x v="9"/>
    <n v="0.15"/>
    <n v="-3.5"/>
  </r>
  <r>
    <x v="68"/>
    <x v="50"/>
    <d v="2023-01-16T00:00:00"/>
    <x v="1"/>
    <s v="Texas"/>
    <x v="0"/>
    <x v="1"/>
    <x v="2"/>
    <n v="392.63"/>
    <x v="0"/>
    <n v="0.1"/>
    <n v="-54.82"/>
  </r>
  <r>
    <x v="69"/>
    <x v="61"/>
    <d v="2023-09-03T00:00:00"/>
    <x v="3"/>
    <s v="California"/>
    <x v="0"/>
    <x v="1"/>
    <x v="1"/>
    <n v="134.81"/>
    <x v="5"/>
    <n v="0.1"/>
    <n v="-18.559999999999999"/>
  </r>
  <r>
    <x v="70"/>
    <x v="62"/>
    <d v="2023-08-12T00:00:00"/>
    <x v="2"/>
    <s v="Illinois"/>
    <x v="1"/>
    <x v="3"/>
    <x v="1"/>
    <n v="224.38"/>
    <x v="4"/>
    <n v="0.1"/>
    <n v="12.3"/>
  </r>
  <r>
    <x v="71"/>
    <x v="63"/>
    <d v="2023-09-28T00:00:00"/>
    <x v="2"/>
    <s v="Illinois"/>
    <x v="2"/>
    <x v="4"/>
    <x v="1"/>
    <n v="561.84"/>
    <x v="3"/>
    <n v="0"/>
    <n v="-89.19"/>
  </r>
  <r>
    <x v="72"/>
    <x v="10"/>
    <d v="2023-05-29T00:00:00"/>
    <x v="0"/>
    <s v="California"/>
    <x v="0"/>
    <x v="1"/>
    <x v="0"/>
    <n v="564.69000000000005"/>
    <x v="8"/>
    <n v="0.15"/>
    <n v="-54.29"/>
  </r>
  <r>
    <x v="73"/>
    <x v="64"/>
    <d v="2023-10-15T00:00:00"/>
    <x v="3"/>
    <s v="California"/>
    <x v="1"/>
    <x v="5"/>
    <x v="1"/>
    <n v="28.99"/>
    <x v="8"/>
    <n v="0"/>
    <n v="7.62"/>
  </r>
  <r>
    <x v="74"/>
    <x v="65"/>
    <d v="2023-02-02T00:00:00"/>
    <x v="2"/>
    <s v="Texas"/>
    <x v="0"/>
    <x v="2"/>
    <x v="1"/>
    <n v="902.86"/>
    <x v="2"/>
    <n v="0"/>
    <n v="-16.47"/>
  </r>
  <r>
    <x v="75"/>
    <x v="66"/>
    <d v="2023-08-24T00:00:00"/>
    <x v="0"/>
    <s v="Florida"/>
    <x v="0"/>
    <x v="0"/>
    <x v="2"/>
    <n v="614.99"/>
    <x v="5"/>
    <n v="0"/>
    <n v="89.85"/>
  </r>
  <r>
    <x v="76"/>
    <x v="61"/>
    <d v="2023-08-31T00:00:00"/>
    <x v="0"/>
    <s v="California"/>
    <x v="1"/>
    <x v="3"/>
    <x v="2"/>
    <n v="117.28"/>
    <x v="1"/>
    <n v="0"/>
    <n v="33.29"/>
  </r>
  <r>
    <x v="77"/>
    <x v="67"/>
    <d v="2023-02-17T00:00:00"/>
    <x v="1"/>
    <s v="New York"/>
    <x v="1"/>
    <x v="5"/>
    <x v="2"/>
    <n v="750.47"/>
    <x v="1"/>
    <n v="0.1"/>
    <n v="158"/>
  </r>
  <r>
    <x v="78"/>
    <x v="68"/>
    <d v="2023-03-07T00:00:00"/>
    <x v="2"/>
    <s v="Illinois"/>
    <x v="1"/>
    <x v="3"/>
    <x v="0"/>
    <n v="151.51"/>
    <x v="1"/>
    <n v="0.3"/>
    <n v="-9.85"/>
  </r>
  <r>
    <x v="79"/>
    <x v="69"/>
    <d v="2023-10-07T00:00:00"/>
    <x v="3"/>
    <s v="Illinois"/>
    <x v="1"/>
    <x v="5"/>
    <x v="1"/>
    <n v="281.33"/>
    <x v="3"/>
    <n v="0.2"/>
    <n v="15.27"/>
  </r>
  <r>
    <x v="80"/>
    <x v="70"/>
    <d v="2023-07-21T00:00:00"/>
    <x v="0"/>
    <s v="Washington"/>
    <x v="1"/>
    <x v="5"/>
    <x v="1"/>
    <n v="84.17"/>
    <x v="9"/>
    <n v="0"/>
    <n v="10.36"/>
  </r>
  <r>
    <x v="81"/>
    <x v="71"/>
    <d v="2023-05-01T00:00:00"/>
    <x v="0"/>
    <s v="Texas"/>
    <x v="1"/>
    <x v="7"/>
    <x v="2"/>
    <n v="803.74"/>
    <x v="6"/>
    <n v="0.2"/>
    <n v="-11.24"/>
  </r>
  <r>
    <x v="82"/>
    <x v="72"/>
    <d v="2023-06-01T00:00:00"/>
    <x v="2"/>
    <s v="New York"/>
    <x v="0"/>
    <x v="1"/>
    <x v="1"/>
    <n v="474.75"/>
    <x v="1"/>
    <n v="0"/>
    <n v="-37.51"/>
  </r>
  <r>
    <x v="83"/>
    <x v="73"/>
    <d v="2023-09-01T00:00:00"/>
    <x v="1"/>
    <s v="Texas"/>
    <x v="2"/>
    <x v="6"/>
    <x v="1"/>
    <n v="102.64"/>
    <x v="8"/>
    <n v="0"/>
    <n v="0.16"/>
  </r>
  <r>
    <x v="84"/>
    <x v="74"/>
    <d v="2023-11-06T00:00:00"/>
    <x v="3"/>
    <s v="Washington"/>
    <x v="0"/>
    <x v="1"/>
    <x v="1"/>
    <n v="381.87"/>
    <x v="4"/>
    <n v="0.1"/>
    <n v="95.86"/>
  </r>
  <r>
    <x v="85"/>
    <x v="45"/>
    <d v="2023-11-18T00:00:00"/>
    <x v="3"/>
    <s v="Illinois"/>
    <x v="2"/>
    <x v="8"/>
    <x v="1"/>
    <n v="494.82"/>
    <x v="4"/>
    <n v="0"/>
    <n v="-20.28"/>
  </r>
  <r>
    <x v="86"/>
    <x v="75"/>
    <d v="2024-01-03T00:00:00"/>
    <x v="0"/>
    <s v="Illinois"/>
    <x v="2"/>
    <x v="4"/>
    <x v="1"/>
    <n v="258.02999999999997"/>
    <x v="7"/>
    <n v="0.2"/>
    <n v="-34.630000000000003"/>
  </r>
  <r>
    <x v="87"/>
    <x v="76"/>
    <d v="2023-08-03T00:00:00"/>
    <x v="1"/>
    <s v="Illinois"/>
    <x v="0"/>
    <x v="2"/>
    <x v="1"/>
    <n v="459.32"/>
    <x v="4"/>
    <n v="0.1"/>
    <n v="-35.119999999999997"/>
  </r>
  <r>
    <x v="88"/>
    <x v="77"/>
    <d v="2023-06-23T00:00:00"/>
    <x v="3"/>
    <s v="Washington"/>
    <x v="0"/>
    <x v="1"/>
    <x v="1"/>
    <n v="413.3"/>
    <x v="0"/>
    <n v="0.3"/>
    <n v="39.96"/>
  </r>
  <r>
    <x v="89"/>
    <x v="13"/>
    <d v="2023-11-15T00:00:00"/>
    <x v="2"/>
    <s v="Texas"/>
    <x v="0"/>
    <x v="1"/>
    <x v="1"/>
    <n v="164.71"/>
    <x v="3"/>
    <n v="0.3"/>
    <n v="-2.4"/>
  </r>
  <r>
    <x v="90"/>
    <x v="78"/>
    <d v="2023-05-11T00:00:00"/>
    <x v="0"/>
    <s v="Florida"/>
    <x v="0"/>
    <x v="2"/>
    <x v="0"/>
    <n v="214.58"/>
    <x v="2"/>
    <n v="0.1"/>
    <n v="15.22"/>
  </r>
  <r>
    <x v="91"/>
    <x v="79"/>
    <d v="2023-10-19T00:00:00"/>
    <x v="1"/>
    <s v="California"/>
    <x v="0"/>
    <x v="2"/>
    <x v="0"/>
    <n v="800.36"/>
    <x v="2"/>
    <n v="0.15"/>
    <n v="108.05"/>
  </r>
  <r>
    <x v="92"/>
    <x v="80"/>
    <d v="2023-04-26T00:00:00"/>
    <x v="0"/>
    <s v="Florida"/>
    <x v="0"/>
    <x v="0"/>
    <x v="0"/>
    <n v="524.28"/>
    <x v="9"/>
    <n v="0.3"/>
    <n v="95.59"/>
  </r>
  <r>
    <x v="93"/>
    <x v="81"/>
    <d v="2023-08-06T00:00:00"/>
    <x v="1"/>
    <s v="Illinois"/>
    <x v="1"/>
    <x v="3"/>
    <x v="2"/>
    <n v="961.93"/>
    <x v="1"/>
    <n v="0.1"/>
    <n v="197.86"/>
  </r>
  <r>
    <x v="94"/>
    <x v="82"/>
    <d v="2023-01-20T00:00:00"/>
    <x v="0"/>
    <s v="Texas"/>
    <x v="2"/>
    <x v="8"/>
    <x v="1"/>
    <n v="862.05"/>
    <x v="7"/>
    <n v="0.3"/>
    <n v="43.86"/>
  </r>
  <r>
    <x v="95"/>
    <x v="83"/>
    <d v="2023-08-13T00:00:00"/>
    <x v="1"/>
    <s v="Texas"/>
    <x v="1"/>
    <x v="3"/>
    <x v="1"/>
    <n v="630.61"/>
    <x v="2"/>
    <n v="0"/>
    <n v="119.38"/>
  </r>
  <r>
    <x v="96"/>
    <x v="84"/>
    <d v="2023-07-16T00:00:00"/>
    <x v="1"/>
    <s v="Illinois"/>
    <x v="0"/>
    <x v="2"/>
    <x v="2"/>
    <n v="30.93"/>
    <x v="5"/>
    <n v="0.1"/>
    <n v="2.08"/>
  </r>
  <r>
    <x v="97"/>
    <x v="85"/>
    <d v="2023-12-08T00:00:00"/>
    <x v="3"/>
    <s v="Florida"/>
    <x v="1"/>
    <x v="5"/>
    <x v="1"/>
    <n v="440.91"/>
    <x v="4"/>
    <n v="0.3"/>
    <n v="46.08"/>
  </r>
  <r>
    <x v="98"/>
    <x v="86"/>
    <d v="2023-02-05T00:00:00"/>
    <x v="1"/>
    <s v="Texas"/>
    <x v="2"/>
    <x v="8"/>
    <x v="1"/>
    <n v="554.35"/>
    <x v="1"/>
    <n v="0.15"/>
    <n v="106.98"/>
  </r>
  <r>
    <x v="99"/>
    <x v="87"/>
    <d v="2023-06-29T00:00:00"/>
    <x v="3"/>
    <s v="California"/>
    <x v="0"/>
    <x v="0"/>
    <x v="2"/>
    <n v="417.24"/>
    <x v="0"/>
    <n v="0"/>
    <n v="22.91"/>
  </r>
  <r>
    <x v="100"/>
    <x v="88"/>
    <d v="2023-06-10T00:00:00"/>
    <x v="0"/>
    <s v="Washington"/>
    <x v="2"/>
    <x v="4"/>
    <x v="2"/>
    <n v="975.19"/>
    <x v="8"/>
    <n v="0"/>
    <n v="193.75"/>
  </r>
  <r>
    <x v="101"/>
    <x v="89"/>
    <d v="2023-10-27T00:00:00"/>
    <x v="3"/>
    <s v="Florida"/>
    <x v="0"/>
    <x v="1"/>
    <x v="0"/>
    <n v="36.43"/>
    <x v="0"/>
    <n v="0.1"/>
    <n v="-5.18"/>
  </r>
  <r>
    <x v="102"/>
    <x v="49"/>
    <d v="2023-07-18T00:00:00"/>
    <x v="2"/>
    <s v="California"/>
    <x v="2"/>
    <x v="4"/>
    <x v="2"/>
    <n v="386.66"/>
    <x v="9"/>
    <n v="0"/>
    <n v="12.25"/>
  </r>
  <r>
    <x v="103"/>
    <x v="90"/>
    <d v="2023-04-02T00:00:00"/>
    <x v="0"/>
    <s v="New York"/>
    <x v="2"/>
    <x v="4"/>
    <x v="1"/>
    <n v="209.8"/>
    <x v="9"/>
    <n v="0.15"/>
    <n v="41.26"/>
  </r>
  <r>
    <x v="104"/>
    <x v="91"/>
    <d v="2023-02-25T00:00:00"/>
    <x v="1"/>
    <s v="Florida"/>
    <x v="2"/>
    <x v="8"/>
    <x v="2"/>
    <n v="945.08"/>
    <x v="7"/>
    <n v="0"/>
    <n v="-175.5"/>
  </r>
  <r>
    <x v="105"/>
    <x v="92"/>
    <d v="2023-03-01T00:00:00"/>
    <x v="3"/>
    <s v="Florida"/>
    <x v="2"/>
    <x v="8"/>
    <x v="0"/>
    <n v="512.29999999999995"/>
    <x v="9"/>
    <n v="0.3"/>
    <n v="105.7"/>
  </r>
  <r>
    <x v="106"/>
    <x v="93"/>
    <d v="2023-02-14T00:00:00"/>
    <x v="0"/>
    <s v="California"/>
    <x v="2"/>
    <x v="4"/>
    <x v="2"/>
    <n v="764.84"/>
    <x v="6"/>
    <n v="0.15"/>
    <n v="-80.08"/>
  </r>
  <r>
    <x v="107"/>
    <x v="94"/>
    <d v="2023-12-25T00:00:00"/>
    <x v="0"/>
    <s v="Washington"/>
    <x v="0"/>
    <x v="1"/>
    <x v="0"/>
    <n v="216.06"/>
    <x v="2"/>
    <n v="0"/>
    <n v="-25.69"/>
  </r>
  <r>
    <x v="108"/>
    <x v="36"/>
    <d v="2023-11-24T00:00:00"/>
    <x v="3"/>
    <s v="Florida"/>
    <x v="1"/>
    <x v="5"/>
    <x v="0"/>
    <n v="445.11"/>
    <x v="8"/>
    <n v="0.2"/>
    <n v="-2.2000000000000002"/>
  </r>
  <r>
    <x v="109"/>
    <x v="95"/>
    <d v="2023-01-30T00:00:00"/>
    <x v="0"/>
    <s v="New York"/>
    <x v="2"/>
    <x v="6"/>
    <x v="0"/>
    <n v="663.11"/>
    <x v="4"/>
    <n v="0.15"/>
    <n v="-65.81"/>
  </r>
  <r>
    <x v="110"/>
    <x v="96"/>
    <d v="2023-09-23T00:00:00"/>
    <x v="0"/>
    <s v="Illinois"/>
    <x v="1"/>
    <x v="3"/>
    <x v="0"/>
    <n v="150.33000000000001"/>
    <x v="9"/>
    <n v="0.3"/>
    <n v="26.16"/>
  </r>
  <r>
    <x v="111"/>
    <x v="97"/>
    <d v="2023-06-05T00:00:00"/>
    <x v="3"/>
    <s v="Washington"/>
    <x v="2"/>
    <x v="6"/>
    <x v="1"/>
    <n v="555.47"/>
    <x v="1"/>
    <n v="0.3"/>
    <n v="-14.92"/>
  </r>
  <r>
    <x v="112"/>
    <x v="98"/>
    <d v="2023-10-03T00:00:00"/>
    <x v="1"/>
    <s v="Texas"/>
    <x v="0"/>
    <x v="2"/>
    <x v="1"/>
    <n v="125.61"/>
    <x v="4"/>
    <n v="0"/>
    <n v="-19.95"/>
  </r>
  <r>
    <x v="113"/>
    <x v="99"/>
    <d v="2023-06-06T00:00:00"/>
    <x v="0"/>
    <s v="Texas"/>
    <x v="1"/>
    <x v="3"/>
    <x v="1"/>
    <n v="581.30999999999995"/>
    <x v="1"/>
    <n v="0.2"/>
    <n v="-75.349999999999994"/>
  </r>
  <r>
    <x v="114"/>
    <x v="100"/>
    <d v="2023-08-09T00:00:00"/>
    <x v="1"/>
    <s v="California"/>
    <x v="1"/>
    <x v="5"/>
    <x v="2"/>
    <n v="724.98"/>
    <x v="0"/>
    <n v="0.2"/>
    <n v="66.03"/>
  </r>
  <r>
    <x v="115"/>
    <x v="75"/>
    <d v="2023-12-30T00:00:00"/>
    <x v="2"/>
    <s v="New York"/>
    <x v="0"/>
    <x v="2"/>
    <x v="1"/>
    <n v="221.24"/>
    <x v="0"/>
    <n v="0.3"/>
    <n v="-30.2"/>
  </r>
  <r>
    <x v="116"/>
    <x v="101"/>
    <d v="2023-02-26T00:00:00"/>
    <x v="2"/>
    <s v="Illinois"/>
    <x v="2"/>
    <x v="4"/>
    <x v="2"/>
    <n v="467.42"/>
    <x v="7"/>
    <n v="0.3"/>
    <n v="-49.15"/>
  </r>
  <r>
    <x v="117"/>
    <x v="98"/>
    <d v="2023-10-05T00:00:00"/>
    <x v="0"/>
    <s v="Texas"/>
    <x v="1"/>
    <x v="5"/>
    <x v="1"/>
    <n v="817.27"/>
    <x v="3"/>
    <n v="0.1"/>
    <n v="-107.89"/>
  </r>
  <r>
    <x v="118"/>
    <x v="102"/>
    <d v="2023-02-28T00:00:00"/>
    <x v="1"/>
    <s v="California"/>
    <x v="0"/>
    <x v="2"/>
    <x v="2"/>
    <n v="203.45"/>
    <x v="6"/>
    <n v="0.15"/>
    <n v="-6.16"/>
  </r>
  <r>
    <x v="119"/>
    <x v="103"/>
    <d v="2023-03-17T00:00:00"/>
    <x v="0"/>
    <s v="Washington"/>
    <x v="1"/>
    <x v="3"/>
    <x v="2"/>
    <n v="904.42"/>
    <x v="5"/>
    <n v="0"/>
    <n v="-84.74"/>
  </r>
  <r>
    <x v="120"/>
    <x v="104"/>
    <d v="2023-12-04T00:00:00"/>
    <x v="2"/>
    <s v="Texas"/>
    <x v="2"/>
    <x v="8"/>
    <x v="1"/>
    <n v="320.44"/>
    <x v="1"/>
    <n v="0"/>
    <n v="73.34"/>
  </r>
  <r>
    <x v="121"/>
    <x v="105"/>
    <d v="2023-11-28T00:00:00"/>
    <x v="2"/>
    <s v="Washington"/>
    <x v="1"/>
    <x v="7"/>
    <x v="0"/>
    <n v="146.04"/>
    <x v="8"/>
    <n v="0.3"/>
    <n v="13.21"/>
  </r>
  <r>
    <x v="122"/>
    <x v="106"/>
    <d v="2023-06-14T00:00:00"/>
    <x v="3"/>
    <s v="Florida"/>
    <x v="2"/>
    <x v="4"/>
    <x v="1"/>
    <n v="721.34"/>
    <x v="5"/>
    <n v="0.15"/>
    <n v="76.069999999999993"/>
  </r>
  <r>
    <x v="123"/>
    <x v="107"/>
    <d v="2023-06-24T00:00:00"/>
    <x v="3"/>
    <s v="Florida"/>
    <x v="1"/>
    <x v="3"/>
    <x v="2"/>
    <n v="730.02"/>
    <x v="1"/>
    <n v="0.1"/>
    <n v="-112.99"/>
  </r>
  <r>
    <x v="124"/>
    <x v="93"/>
    <d v="2023-02-10T00:00:00"/>
    <x v="3"/>
    <s v="Washington"/>
    <x v="2"/>
    <x v="6"/>
    <x v="0"/>
    <n v="960.2"/>
    <x v="8"/>
    <n v="0.2"/>
    <n v="144.69"/>
  </r>
  <r>
    <x v="125"/>
    <x v="108"/>
    <d v="2023-07-09T00:00:00"/>
    <x v="2"/>
    <s v="New York"/>
    <x v="0"/>
    <x v="0"/>
    <x v="0"/>
    <n v="65.66"/>
    <x v="5"/>
    <n v="0.3"/>
    <n v="9.26"/>
  </r>
  <r>
    <x v="126"/>
    <x v="109"/>
    <d v="2023-04-01T00:00:00"/>
    <x v="1"/>
    <s v="Washington"/>
    <x v="0"/>
    <x v="1"/>
    <x v="2"/>
    <n v="799.68"/>
    <x v="3"/>
    <n v="0.1"/>
    <n v="-84.69"/>
  </r>
  <r>
    <x v="127"/>
    <x v="110"/>
    <d v="2023-05-08T00:00:00"/>
    <x v="0"/>
    <s v="Washington"/>
    <x v="1"/>
    <x v="7"/>
    <x v="1"/>
    <n v="186.07"/>
    <x v="6"/>
    <n v="0"/>
    <n v="48.08"/>
  </r>
  <r>
    <x v="128"/>
    <x v="111"/>
    <d v="2023-08-13T00:00:00"/>
    <x v="0"/>
    <s v="Florida"/>
    <x v="2"/>
    <x v="4"/>
    <x v="0"/>
    <n v="919.35"/>
    <x v="6"/>
    <n v="0.2"/>
    <n v="75.02"/>
  </r>
  <r>
    <x v="129"/>
    <x v="112"/>
    <d v="2023-04-12T00:00:00"/>
    <x v="2"/>
    <s v="Florida"/>
    <x v="2"/>
    <x v="8"/>
    <x v="0"/>
    <n v="174.2"/>
    <x v="7"/>
    <n v="0.2"/>
    <n v="17.510000000000002"/>
  </r>
  <r>
    <x v="130"/>
    <x v="31"/>
    <d v="2023-05-07T00:00:00"/>
    <x v="2"/>
    <s v="New York"/>
    <x v="0"/>
    <x v="0"/>
    <x v="2"/>
    <n v="870.55"/>
    <x v="0"/>
    <n v="0"/>
    <n v="-158.91"/>
  </r>
  <r>
    <x v="131"/>
    <x v="113"/>
    <d v="2023-01-12T00:00:00"/>
    <x v="0"/>
    <s v="Florida"/>
    <x v="0"/>
    <x v="1"/>
    <x v="1"/>
    <n v="297.77"/>
    <x v="9"/>
    <n v="0.1"/>
    <n v="42.36"/>
  </r>
  <r>
    <x v="132"/>
    <x v="11"/>
    <d v="2023-07-08T00:00:00"/>
    <x v="1"/>
    <s v="Illinois"/>
    <x v="0"/>
    <x v="0"/>
    <x v="2"/>
    <n v="740.69"/>
    <x v="9"/>
    <n v="0.1"/>
    <n v="88.25"/>
  </r>
  <r>
    <x v="133"/>
    <x v="114"/>
    <d v="2023-08-20T00:00:00"/>
    <x v="3"/>
    <s v="Washington"/>
    <x v="0"/>
    <x v="1"/>
    <x v="1"/>
    <n v="224.06"/>
    <x v="8"/>
    <n v="0.2"/>
    <n v="27.16"/>
  </r>
  <r>
    <x v="134"/>
    <x v="35"/>
    <d v="2023-03-13T00:00:00"/>
    <x v="1"/>
    <s v="Washington"/>
    <x v="0"/>
    <x v="2"/>
    <x v="1"/>
    <n v="696.93"/>
    <x v="8"/>
    <n v="0.3"/>
    <n v="145.88"/>
  </r>
  <r>
    <x v="135"/>
    <x v="48"/>
    <d v="2023-11-29T00:00:00"/>
    <x v="2"/>
    <s v="Washington"/>
    <x v="1"/>
    <x v="3"/>
    <x v="0"/>
    <n v="577.44000000000005"/>
    <x v="6"/>
    <n v="0.1"/>
    <n v="-56.7"/>
  </r>
  <r>
    <x v="136"/>
    <x v="115"/>
    <d v="2023-12-13T00:00:00"/>
    <x v="1"/>
    <s v="New York"/>
    <x v="0"/>
    <x v="1"/>
    <x v="1"/>
    <n v="246.43"/>
    <x v="4"/>
    <n v="0.3"/>
    <n v="6.39"/>
  </r>
  <r>
    <x v="137"/>
    <x v="116"/>
    <d v="2023-07-10T00:00:00"/>
    <x v="3"/>
    <s v="Florida"/>
    <x v="2"/>
    <x v="6"/>
    <x v="1"/>
    <n v="493.87"/>
    <x v="5"/>
    <n v="0.2"/>
    <n v="37.840000000000003"/>
  </r>
  <r>
    <x v="138"/>
    <x v="75"/>
    <d v="2023-12-31T00:00:00"/>
    <x v="3"/>
    <s v="Washington"/>
    <x v="1"/>
    <x v="5"/>
    <x v="0"/>
    <n v="733.41"/>
    <x v="6"/>
    <n v="0.15"/>
    <n v="-26.63"/>
  </r>
  <r>
    <x v="139"/>
    <x v="30"/>
    <d v="2023-11-19T00:00:00"/>
    <x v="1"/>
    <s v="California"/>
    <x v="1"/>
    <x v="7"/>
    <x v="2"/>
    <n v="738.99"/>
    <x v="5"/>
    <n v="0.1"/>
    <n v="35.03"/>
  </r>
  <r>
    <x v="140"/>
    <x v="51"/>
    <d v="2023-01-07T00:00:00"/>
    <x v="2"/>
    <s v="New York"/>
    <x v="0"/>
    <x v="1"/>
    <x v="0"/>
    <n v="133.25"/>
    <x v="6"/>
    <n v="0.3"/>
    <n v="-4.1500000000000004"/>
  </r>
  <r>
    <x v="141"/>
    <x v="114"/>
    <d v="2023-08-22T00:00:00"/>
    <x v="1"/>
    <s v="Texas"/>
    <x v="1"/>
    <x v="5"/>
    <x v="0"/>
    <n v="493.36"/>
    <x v="6"/>
    <n v="0.3"/>
    <n v="-13.47"/>
  </r>
  <r>
    <x v="142"/>
    <x v="6"/>
    <d v="2023-08-02T00:00:00"/>
    <x v="3"/>
    <s v="Texas"/>
    <x v="0"/>
    <x v="1"/>
    <x v="2"/>
    <n v="950.65"/>
    <x v="1"/>
    <n v="0.1"/>
    <n v="234.04"/>
  </r>
  <r>
    <x v="143"/>
    <x v="21"/>
    <d v="2023-06-23T00:00:00"/>
    <x v="3"/>
    <s v="New York"/>
    <x v="1"/>
    <x v="5"/>
    <x v="0"/>
    <n v="642.66"/>
    <x v="8"/>
    <n v="0.15"/>
    <n v="49.04"/>
  </r>
  <r>
    <x v="144"/>
    <x v="117"/>
    <d v="2024-01-03T00:00:00"/>
    <x v="3"/>
    <s v="California"/>
    <x v="1"/>
    <x v="7"/>
    <x v="0"/>
    <n v="476.83"/>
    <x v="5"/>
    <n v="0.3"/>
    <n v="-29.1"/>
  </r>
  <r>
    <x v="145"/>
    <x v="118"/>
    <d v="2023-04-06T00:00:00"/>
    <x v="1"/>
    <s v="Florida"/>
    <x v="2"/>
    <x v="8"/>
    <x v="2"/>
    <n v="543.08000000000004"/>
    <x v="5"/>
    <n v="0"/>
    <n v="-100.99"/>
  </r>
  <r>
    <x v="146"/>
    <x v="119"/>
    <d v="2023-12-07T00:00:00"/>
    <x v="3"/>
    <s v="Illinois"/>
    <x v="1"/>
    <x v="5"/>
    <x v="0"/>
    <n v="651.97"/>
    <x v="7"/>
    <n v="0"/>
    <n v="-11.78"/>
  </r>
  <r>
    <x v="147"/>
    <x v="120"/>
    <d v="2023-07-05T00:00:00"/>
    <x v="1"/>
    <s v="Florida"/>
    <x v="1"/>
    <x v="7"/>
    <x v="0"/>
    <n v="695.57"/>
    <x v="3"/>
    <n v="0.1"/>
    <n v="45.9"/>
  </r>
  <r>
    <x v="148"/>
    <x v="121"/>
    <d v="2023-09-14T00:00:00"/>
    <x v="3"/>
    <s v="New York"/>
    <x v="0"/>
    <x v="1"/>
    <x v="0"/>
    <n v="874.04"/>
    <x v="8"/>
    <n v="0.2"/>
    <n v="55.16"/>
  </r>
  <r>
    <x v="149"/>
    <x v="87"/>
    <d v="2023-07-03T00:00:00"/>
    <x v="2"/>
    <s v="California"/>
    <x v="0"/>
    <x v="0"/>
    <x v="0"/>
    <n v="103.42"/>
    <x v="4"/>
    <n v="0"/>
    <n v="29.75"/>
  </r>
  <r>
    <x v="150"/>
    <x v="122"/>
    <d v="2023-11-02T00:00:00"/>
    <x v="0"/>
    <s v="California"/>
    <x v="0"/>
    <x v="2"/>
    <x v="0"/>
    <n v="533.66999999999996"/>
    <x v="6"/>
    <n v="0"/>
    <n v="55.36"/>
  </r>
  <r>
    <x v="151"/>
    <x v="26"/>
    <d v="2023-11-12T00:00:00"/>
    <x v="3"/>
    <s v="Florida"/>
    <x v="1"/>
    <x v="3"/>
    <x v="1"/>
    <n v="576.76"/>
    <x v="0"/>
    <n v="0.1"/>
    <n v="103.22"/>
  </r>
  <r>
    <x v="152"/>
    <x v="123"/>
    <d v="2023-07-01T00:00:00"/>
    <x v="2"/>
    <s v="New York"/>
    <x v="0"/>
    <x v="0"/>
    <x v="2"/>
    <n v="418.14"/>
    <x v="9"/>
    <n v="0.15"/>
    <n v="-59.68"/>
  </r>
  <r>
    <x v="153"/>
    <x v="124"/>
    <d v="2023-03-02T00:00:00"/>
    <x v="2"/>
    <s v="California"/>
    <x v="2"/>
    <x v="6"/>
    <x v="2"/>
    <n v="74.599999999999994"/>
    <x v="8"/>
    <n v="0.2"/>
    <n v="15.38"/>
  </r>
  <r>
    <x v="154"/>
    <x v="125"/>
    <d v="2023-05-15T00:00:00"/>
    <x v="2"/>
    <s v="Washington"/>
    <x v="2"/>
    <x v="4"/>
    <x v="2"/>
    <n v="105.92"/>
    <x v="2"/>
    <n v="0.1"/>
    <n v="23.46"/>
  </r>
  <r>
    <x v="155"/>
    <x v="34"/>
    <d v="2023-04-02T00:00:00"/>
    <x v="1"/>
    <s v="New York"/>
    <x v="1"/>
    <x v="7"/>
    <x v="1"/>
    <n v="432.03"/>
    <x v="5"/>
    <n v="0"/>
    <n v="108.87"/>
  </r>
  <r>
    <x v="156"/>
    <x v="126"/>
    <d v="2023-10-12T00:00:00"/>
    <x v="1"/>
    <s v="Florida"/>
    <x v="1"/>
    <x v="5"/>
    <x v="1"/>
    <n v="669.68"/>
    <x v="0"/>
    <n v="0.15"/>
    <n v="-109.28"/>
  </r>
  <r>
    <x v="157"/>
    <x v="127"/>
    <d v="2023-09-21T00:00:00"/>
    <x v="2"/>
    <s v="California"/>
    <x v="2"/>
    <x v="6"/>
    <x v="0"/>
    <n v="127.9"/>
    <x v="4"/>
    <n v="0.2"/>
    <n v="-20.440000000000001"/>
  </r>
  <r>
    <x v="158"/>
    <x v="128"/>
    <d v="2023-09-20T00:00:00"/>
    <x v="1"/>
    <s v="California"/>
    <x v="2"/>
    <x v="4"/>
    <x v="2"/>
    <n v="707.98"/>
    <x v="1"/>
    <n v="0.15"/>
    <n v="170.27"/>
  </r>
  <r>
    <x v="159"/>
    <x v="122"/>
    <d v="2023-10-30T00:00:00"/>
    <x v="1"/>
    <s v="New York"/>
    <x v="0"/>
    <x v="1"/>
    <x v="1"/>
    <n v="739.37"/>
    <x v="7"/>
    <n v="0.2"/>
    <n v="-28.43"/>
  </r>
  <r>
    <x v="160"/>
    <x v="129"/>
    <d v="2023-07-13T00:00:00"/>
    <x v="3"/>
    <s v="California"/>
    <x v="1"/>
    <x v="3"/>
    <x v="2"/>
    <n v="820.88"/>
    <x v="5"/>
    <n v="0.1"/>
    <n v="208.5"/>
  </r>
  <r>
    <x v="161"/>
    <x v="130"/>
    <d v="2023-04-24T00:00:00"/>
    <x v="3"/>
    <s v="Texas"/>
    <x v="2"/>
    <x v="4"/>
    <x v="1"/>
    <n v="904.49"/>
    <x v="1"/>
    <n v="0.3"/>
    <n v="113.03"/>
  </r>
  <r>
    <x v="162"/>
    <x v="131"/>
    <d v="2023-12-03T00:00:00"/>
    <x v="1"/>
    <s v="Florida"/>
    <x v="2"/>
    <x v="8"/>
    <x v="2"/>
    <n v="861.05"/>
    <x v="1"/>
    <n v="0.3"/>
    <n v="109.6"/>
  </r>
  <r>
    <x v="163"/>
    <x v="104"/>
    <d v="2023-12-04T00:00:00"/>
    <x v="2"/>
    <s v="Washington"/>
    <x v="0"/>
    <x v="2"/>
    <x v="0"/>
    <n v="775.38"/>
    <x v="4"/>
    <n v="0.3"/>
    <n v="-68.66"/>
  </r>
  <r>
    <x v="164"/>
    <x v="132"/>
    <d v="2023-06-13T00:00:00"/>
    <x v="1"/>
    <s v="New York"/>
    <x v="1"/>
    <x v="3"/>
    <x v="1"/>
    <n v="513.38"/>
    <x v="2"/>
    <n v="0"/>
    <n v="105.08"/>
  </r>
  <r>
    <x v="165"/>
    <x v="133"/>
    <d v="2023-02-15T00:00:00"/>
    <x v="3"/>
    <s v="Illinois"/>
    <x v="0"/>
    <x v="1"/>
    <x v="0"/>
    <n v="165.22"/>
    <x v="9"/>
    <n v="0.1"/>
    <n v="-27.93"/>
  </r>
  <r>
    <x v="166"/>
    <x v="134"/>
    <d v="2023-01-31T00:00:00"/>
    <x v="2"/>
    <s v="Texas"/>
    <x v="1"/>
    <x v="3"/>
    <x v="0"/>
    <n v="616.16999999999996"/>
    <x v="8"/>
    <n v="0.1"/>
    <n v="165.96"/>
  </r>
  <r>
    <x v="167"/>
    <x v="135"/>
    <d v="2023-04-15T00:00:00"/>
    <x v="0"/>
    <s v="Illinois"/>
    <x v="1"/>
    <x v="3"/>
    <x v="0"/>
    <n v="674.56"/>
    <x v="5"/>
    <n v="0.3"/>
    <n v="102.86"/>
  </r>
  <r>
    <x v="168"/>
    <x v="136"/>
    <d v="2023-01-24T00:00:00"/>
    <x v="0"/>
    <s v="Texas"/>
    <x v="1"/>
    <x v="7"/>
    <x v="1"/>
    <n v="855.59"/>
    <x v="0"/>
    <n v="0.3"/>
    <n v="128.03"/>
  </r>
  <r>
    <x v="169"/>
    <x v="133"/>
    <d v="2023-02-17T00:00:00"/>
    <x v="2"/>
    <s v="Florida"/>
    <x v="2"/>
    <x v="6"/>
    <x v="0"/>
    <n v="805.86"/>
    <x v="2"/>
    <n v="0.2"/>
    <n v="-81.739999999999995"/>
  </r>
  <r>
    <x v="170"/>
    <x v="137"/>
    <d v="2023-10-25T00:00:00"/>
    <x v="0"/>
    <s v="Texas"/>
    <x v="2"/>
    <x v="4"/>
    <x v="0"/>
    <n v="479.21"/>
    <x v="1"/>
    <n v="0.1"/>
    <n v="12.5"/>
  </r>
  <r>
    <x v="171"/>
    <x v="138"/>
    <d v="2023-08-02T00:00:00"/>
    <x v="3"/>
    <s v="Washington"/>
    <x v="2"/>
    <x v="8"/>
    <x v="2"/>
    <n v="417.74"/>
    <x v="5"/>
    <n v="0"/>
    <n v="-14.07"/>
  </r>
  <r>
    <x v="172"/>
    <x v="105"/>
    <d v="2023-11-24T00:00:00"/>
    <x v="1"/>
    <s v="Illinois"/>
    <x v="2"/>
    <x v="8"/>
    <x v="0"/>
    <n v="931.66"/>
    <x v="7"/>
    <n v="0.2"/>
    <n v="55.85"/>
  </r>
  <r>
    <x v="173"/>
    <x v="139"/>
    <d v="2023-12-16T00:00:00"/>
    <x v="2"/>
    <s v="Texas"/>
    <x v="2"/>
    <x v="4"/>
    <x v="1"/>
    <n v="271.81"/>
    <x v="1"/>
    <n v="0.2"/>
    <n v="19.8"/>
  </r>
  <r>
    <x v="174"/>
    <x v="140"/>
    <d v="2023-08-12T00:00:00"/>
    <x v="0"/>
    <s v="New York"/>
    <x v="0"/>
    <x v="0"/>
    <x v="1"/>
    <n v="567.67999999999995"/>
    <x v="9"/>
    <n v="0.3"/>
    <n v="69.510000000000005"/>
  </r>
  <r>
    <x v="175"/>
    <x v="141"/>
    <d v="2023-05-07T00:00:00"/>
    <x v="1"/>
    <s v="New York"/>
    <x v="0"/>
    <x v="2"/>
    <x v="2"/>
    <n v="310.04000000000002"/>
    <x v="4"/>
    <n v="0"/>
    <n v="39.25"/>
  </r>
  <r>
    <x v="176"/>
    <x v="142"/>
    <d v="2023-02-28T00:00:00"/>
    <x v="1"/>
    <s v="California"/>
    <x v="0"/>
    <x v="2"/>
    <x v="2"/>
    <n v="750.2"/>
    <x v="3"/>
    <n v="0.1"/>
    <n v="147.41"/>
  </r>
  <r>
    <x v="177"/>
    <x v="119"/>
    <d v="2023-12-05T00:00:00"/>
    <x v="1"/>
    <s v="California"/>
    <x v="1"/>
    <x v="3"/>
    <x v="0"/>
    <n v="46.8"/>
    <x v="6"/>
    <n v="0.3"/>
    <n v="-4.53"/>
  </r>
  <r>
    <x v="178"/>
    <x v="143"/>
    <d v="2023-07-14T00:00:00"/>
    <x v="1"/>
    <s v="Florida"/>
    <x v="0"/>
    <x v="2"/>
    <x v="0"/>
    <n v="648.62"/>
    <x v="7"/>
    <n v="0"/>
    <n v="-64.55"/>
  </r>
  <r>
    <x v="179"/>
    <x v="19"/>
    <d v="2024-01-01T00:00:00"/>
    <x v="0"/>
    <s v="New York"/>
    <x v="0"/>
    <x v="0"/>
    <x v="1"/>
    <n v="708.84"/>
    <x v="4"/>
    <n v="0.1"/>
    <n v="60.65"/>
  </r>
  <r>
    <x v="180"/>
    <x v="66"/>
    <d v="2023-08-26T00:00:00"/>
    <x v="1"/>
    <s v="California"/>
    <x v="2"/>
    <x v="4"/>
    <x v="1"/>
    <n v="159.82"/>
    <x v="6"/>
    <n v="0.3"/>
    <n v="20.059999999999999"/>
  </r>
  <r>
    <x v="181"/>
    <x v="19"/>
    <d v="2024-01-04T00:00:00"/>
    <x v="3"/>
    <s v="Illinois"/>
    <x v="0"/>
    <x v="1"/>
    <x v="2"/>
    <n v="216.01"/>
    <x v="4"/>
    <n v="0.2"/>
    <n v="51.3"/>
  </r>
  <r>
    <x v="182"/>
    <x v="29"/>
    <d v="2023-06-18T00:00:00"/>
    <x v="1"/>
    <s v="California"/>
    <x v="1"/>
    <x v="5"/>
    <x v="0"/>
    <n v="591.41"/>
    <x v="1"/>
    <n v="0.3"/>
    <n v="-71.33"/>
  </r>
  <r>
    <x v="183"/>
    <x v="104"/>
    <d v="2023-12-05T00:00:00"/>
    <x v="0"/>
    <s v="Florida"/>
    <x v="2"/>
    <x v="4"/>
    <x v="1"/>
    <n v="93.44"/>
    <x v="3"/>
    <n v="0"/>
    <n v="-13.69"/>
  </r>
  <r>
    <x v="184"/>
    <x v="144"/>
    <d v="2023-06-30T00:00:00"/>
    <x v="1"/>
    <s v="New York"/>
    <x v="0"/>
    <x v="2"/>
    <x v="0"/>
    <n v="606.49"/>
    <x v="8"/>
    <n v="0.2"/>
    <n v="-91.42"/>
  </r>
  <r>
    <x v="185"/>
    <x v="26"/>
    <d v="2023-11-14T00:00:00"/>
    <x v="3"/>
    <s v="California"/>
    <x v="0"/>
    <x v="1"/>
    <x v="2"/>
    <n v="846.11"/>
    <x v="5"/>
    <n v="0.3"/>
    <n v="-69"/>
  </r>
  <r>
    <x v="186"/>
    <x v="145"/>
    <d v="2023-12-30T00:00:00"/>
    <x v="2"/>
    <s v="Washington"/>
    <x v="0"/>
    <x v="1"/>
    <x v="0"/>
    <n v="788.81"/>
    <x v="9"/>
    <n v="0.3"/>
    <n v="62.22"/>
  </r>
  <r>
    <x v="187"/>
    <x v="146"/>
    <d v="2023-03-24T00:00:00"/>
    <x v="3"/>
    <s v="Illinois"/>
    <x v="2"/>
    <x v="4"/>
    <x v="1"/>
    <n v="785.98"/>
    <x v="6"/>
    <n v="0.2"/>
    <n v="-124.55"/>
  </r>
  <r>
    <x v="188"/>
    <x v="103"/>
    <d v="2023-03-22T00:00:00"/>
    <x v="0"/>
    <s v="Illinois"/>
    <x v="1"/>
    <x v="7"/>
    <x v="0"/>
    <n v="704.77"/>
    <x v="5"/>
    <n v="0.2"/>
    <n v="126.72"/>
  </r>
  <r>
    <x v="189"/>
    <x v="106"/>
    <d v="2023-06-14T00:00:00"/>
    <x v="0"/>
    <s v="Texas"/>
    <x v="2"/>
    <x v="6"/>
    <x v="1"/>
    <n v="901.7"/>
    <x v="9"/>
    <n v="0.1"/>
    <n v="-82.97"/>
  </r>
  <r>
    <x v="190"/>
    <x v="147"/>
    <d v="2023-10-10T00:00:00"/>
    <x v="3"/>
    <s v="California"/>
    <x v="1"/>
    <x v="3"/>
    <x v="0"/>
    <n v="174.54"/>
    <x v="6"/>
    <n v="0.3"/>
    <n v="-10.119999999999999"/>
  </r>
  <r>
    <x v="191"/>
    <x v="26"/>
    <d v="2023-11-17T00:00:00"/>
    <x v="3"/>
    <s v="New York"/>
    <x v="2"/>
    <x v="6"/>
    <x v="2"/>
    <n v="888.74"/>
    <x v="0"/>
    <n v="0.1"/>
    <n v="227.68"/>
  </r>
  <r>
    <x v="192"/>
    <x v="148"/>
    <d v="2023-03-13T00:00:00"/>
    <x v="0"/>
    <s v="California"/>
    <x v="1"/>
    <x v="7"/>
    <x v="2"/>
    <n v="699.02"/>
    <x v="5"/>
    <n v="0"/>
    <n v="167.7"/>
  </r>
  <r>
    <x v="193"/>
    <x v="122"/>
    <d v="2023-11-01T00:00:00"/>
    <x v="1"/>
    <s v="New York"/>
    <x v="1"/>
    <x v="3"/>
    <x v="2"/>
    <n v="51.56"/>
    <x v="4"/>
    <n v="0.1"/>
    <n v="-1.27"/>
  </r>
  <r>
    <x v="194"/>
    <x v="149"/>
    <d v="2023-05-20T00:00:00"/>
    <x v="1"/>
    <s v="California"/>
    <x v="2"/>
    <x v="4"/>
    <x v="1"/>
    <n v="728.64"/>
    <x v="4"/>
    <n v="0.2"/>
    <n v="-36.35"/>
  </r>
  <r>
    <x v="195"/>
    <x v="39"/>
    <d v="2023-06-04T00:00:00"/>
    <x v="1"/>
    <s v="Washington"/>
    <x v="2"/>
    <x v="4"/>
    <x v="2"/>
    <n v="536.03"/>
    <x v="7"/>
    <n v="0.1"/>
    <n v="90.03"/>
  </r>
  <r>
    <x v="196"/>
    <x v="150"/>
    <d v="2023-02-28T00:00:00"/>
    <x v="2"/>
    <s v="New York"/>
    <x v="0"/>
    <x v="0"/>
    <x v="1"/>
    <n v="739.7"/>
    <x v="4"/>
    <n v="0.15"/>
    <n v="-67.75"/>
  </r>
  <r>
    <x v="197"/>
    <x v="8"/>
    <d v="2023-09-08T00:00:00"/>
    <x v="1"/>
    <s v="Texas"/>
    <x v="1"/>
    <x v="5"/>
    <x v="2"/>
    <n v="971.16"/>
    <x v="1"/>
    <n v="0.15"/>
    <n v="-122.14"/>
  </r>
  <r>
    <x v="198"/>
    <x v="151"/>
    <d v="2023-11-21T00:00:00"/>
    <x v="3"/>
    <s v="Illinois"/>
    <x v="2"/>
    <x v="4"/>
    <x v="0"/>
    <n v="285.01"/>
    <x v="8"/>
    <n v="0"/>
    <n v="-34.020000000000003"/>
  </r>
  <r>
    <x v="199"/>
    <x v="152"/>
    <d v="2023-04-13T00:00:00"/>
    <x v="0"/>
    <s v="California"/>
    <x v="1"/>
    <x v="5"/>
    <x v="1"/>
    <n v="637.34"/>
    <x v="0"/>
    <n v="0.2"/>
    <n v="-4.71"/>
  </r>
  <r>
    <x v="200"/>
    <x v="153"/>
    <d v="2023-08-02T00:00:00"/>
    <x v="3"/>
    <s v="Texas"/>
    <x v="2"/>
    <x v="8"/>
    <x v="1"/>
    <n v="130.22999999999999"/>
    <x v="4"/>
    <n v="0.15"/>
    <n v="-7.45"/>
  </r>
  <r>
    <x v="201"/>
    <x v="154"/>
    <d v="2023-09-10T00:00:00"/>
    <x v="2"/>
    <s v="California"/>
    <x v="0"/>
    <x v="1"/>
    <x v="2"/>
    <n v="966.17"/>
    <x v="1"/>
    <n v="0.1"/>
    <n v="138.33000000000001"/>
  </r>
  <r>
    <x v="202"/>
    <x v="90"/>
    <d v="2023-04-03T00:00:00"/>
    <x v="0"/>
    <s v="Texas"/>
    <x v="2"/>
    <x v="4"/>
    <x v="2"/>
    <n v="404.88"/>
    <x v="1"/>
    <n v="0.15"/>
    <n v="98.15"/>
  </r>
  <r>
    <x v="203"/>
    <x v="155"/>
    <d v="2023-03-31T00:00:00"/>
    <x v="1"/>
    <s v="Texas"/>
    <x v="2"/>
    <x v="6"/>
    <x v="1"/>
    <n v="619.03"/>
    <x v="8"/>
    <n v="0.2"/>
    <n v="-41.94"/>
  </r>
  <r>
    <x v="204"/>
    <x v="87"/>
    <d v="2023-06-29T00:00:00"/>
    <x v="2"/>
    <s v="California"/>
    <x v="0"/>
    <x v="2"/>
    <x v="0"/>
    <n v="520.29"/>
    <x v="7"/>
    <n v="0.2"/>
    <n v="-73.239999999999995"/>
  </r>
  <r>
    <x v="205"/>
    <x v="156"/>
    <d v="2023-02-08T00:00:00"/>
    <x v="0"/>
    <s v="Washington"/>
    <x v="1"/>
    <x v="5"/>
    <x v="2"/>
    <n v="786.25"/>
    <x v="8"/>
    <n v="0"/>
    <n v="-99.38"/>
  </r>
  <r>
    <x v="206"/>
    <x v="157"/>
    <d v="2023-10-03T00:00:00"/>
    <x v="3"/>
    <s v="California"/>
    <x v="0"/>
    <x v="1"/>
    <x v="1"/>
    <n v="520.37"/>
    <x v="5"/>
    <n v="0"/>
    <n v="-48.72"/>
  </r>
  <r>
    <x v="207"/>
    <x v="158"/>
    <d v="2023-02-01T00:00:00"/>
    <x v="0"/>
    <s v="New York"/>
    <x v="2"/>
    <x v="4"/>
    <x v="1"/>
    <n v="171.17"/>
    <x v="9"/>
    <n v="0.15"/>
    <n v="22.54"/>
  </r>
  <r>
    <x v="208"/>
    <x v="159"/>
    <d v="2023-04-01T00:00:00"/>
    <x v="3"/>
    <s v="Florida"/>
    <x v="2"/>
    <x v="4"/>
    <x v="1"/>
    <n v="315.33999999999997"/>
    <x v="2"/>
    <n v="0.1"/>
    <n v="13.22"/>
  </r>
  <r>
    <x v="209"/>
    <x v="160"/>
    <d v="2023-07-15T00:00:00"/>
    <x v="2"/>
    <s v="Washington"/>
    <x v="0"/>
    <x v="1"/>
    <x v="1"/>
    <n v="942.34"/>
    <x v="1"/>
    <n v="0.3"/>
    <n v="-80.930000000000007"/>
  </r>
  <r>
    <x v="210"/>
    <x v="161"/>
    <d v="2023-12-12T00:00:00"/>
    <x v="2"/>
    <s v="California"/>
    <x v="1"/>
    <x v="7"/>
    <x v="1"/>
    <n v="279.7"/>
    <x v="9"/>
    <n v="0.2"/>
    <n v="2.6"/>
  </r>
  <r>
    <x v="211"/>
    <x v="3"/>
    <d v="2023-01-25T00:00:00"/>
    <x v="2"/>
    <s v="Washington"/>
    <x v="0"/>
    <x v="1"/>
    <x v="0"/>
    <n v="746.87"/>
    <x v="7"/>
    <n v="0.15"/>
    <n v="166.49"/>
  </r>
  <r>
    <x v="212"/>
    <x v="162"/>
    <d v="2023-05-30T00:00:00"/>
    <x v="3"/>
    <s v="New York"/>
    <x v="2"/>
    <x v="6"/>
    <x v="2"/>
    <n v="773"/>
    <x v="1"/>
    <n v="0"/>
    <n v="-4.28"/>
  </r>
  <r>
    <x v="213"/>
    <x v="163"/>
    <d v="2023-12-20T00:00:00"/>
    <x v="1"/>
    <s v="Washington"/>
    <x v="2"/>
    <x v="8"/>
    <x v="1"/>
    <n v="696.13"/>
    <x v="4"/>
    <n v="0.3"/>
    <n v="108.07"/>
  </r>
  <r>
    <x v="214"/>
    <x v="159"/>
    <d v="2023-03-29T00:00:00"/>
    <x v="1"/>
    <s v="Texas"/>
    <x v="2"/>
    <x v="6"/>
    <x v="0"/>
    <n v="418.47"/>
    <x v="7"/>
    <n v="0.3"/>
    <n v="78.77"/>
  </r>
  <r>
    <x v="215"/>
    <x v="4"/>
    <d v="2023-02-06T00:00:00"/>
    <x v="0"/>
    <s v="Texas"/>
    <x v="2"/>
    <x v="4"/>
    <x v="2"/>
    <n v="844.8"/>
    <x v="9"/>
    <n v="0.15"/>
    <n v="93.26"/>
  </r>
  <r>
    <x v="216"/>
    <x v="164"/>
    <d v="2023-07-19T00:00:00"/>
    <x v="3"/>
    <s v="Texas"/>
    <x v="0"/>
    <x v="2"/>
    <x v="0"/>
    <n v="160.63"/>
    <x v="9"/>
    <n v="0"/>
    <n v="-8.94"/>
  </r>
  <r>
    <x v="217"/>
    <x v="165"/>
    <d v="2023-10-03T00:00:00"/>
    <x v="2"/>
    <s v="Washington"/>
    <x v="2"/>
    <x v="8"/>
    <x v="2"/>
    <n v="767.33"/>
    <x v="2"/>
    <n v="0.2"/>
    <n v="151.07"/>
  </r>
  <r>
    <x v="218"/>
    <x v="166"/>
    <d v="2023-02-10T00:00:00"/>
    <x v="0"/>
    <s v="Illinois"/>
    <x v="0"/>
    <x v="0"/>
    <x v="1"/>
    <n v="904.95"/>
    <x v="2"/>
    <n v="0.2"/>
    <n v="-137.88"/>
  </r>
  <r>
    <x v="219"/>
    <x v="167"/>
    <d v="2023-10-10T00:00:00"/>
    <x v="2"/>
    <s v="California"/>
    <x v="1"/>
    <x v="3"/>
    <x v="0"/>
    <n v="306.83"/>
    <x v="0"/>
    <n v="0.15"/>
    <n v="-50.44"/>
  </r>
  <r>
    <x v="220"/>
    <x v="87"/>
    <d v="2023-06-27T00:00:00"/>
    <x v="1"/>
    <s v="Illinois"/>
    <x v="2"/>
    <x v="8"/>
    <x v="2"/>
    <n v="706.79"/>
    <x v="4"/>
    <n v="0"/>
    <n v="169.49"/>
  </r>
  <r>
    <x v="221"/>
    <x v="168"/>
    <d v="2024-01-02T00:00:00"/>
    <x v="1"/>
    <s v="Illinois"/>
    <x v="2"/>
    <x v="8"/>
    <x v="2"/>
    <n v="121.38"/>
    <x v="2"/>
    <n v="0.3"/>
    <n v="16.05"/>
  </r>
  <r>
    <x v="222"/>
    <x v="149"/>
    <d v="2023-05-19T00:00:00"/>
    <x v="3"/>
    <s v="Illinois"/>
    <x v="2"/>
    <x v="6"/>
    <x v="2"/>
    <n v="23.77"/>
    <x v="2"/>
    <n v="0.3"/>
    <n v="4.68"/>
  </r>
  <r>
    <x v="223"/>
    <x v="169"/>
    <d v="2023-04-20T00:00:00"/>
    <x v="0"/>
    <s v="Florida"/>
    <x v="1"/>
    <x v="5"/>
    <x v="2"/>
    <n v="564.71"/>
    <x v="8"/>
    <n v="0.15"/>
    <n v="-21.59"/>
  </r>
  <r>
    <x v="224"/>
    <x v="144"/>
    <d v="2023-07-01T00:00:00"/>
    <x v="3"/>
    <s v="Florida"/>
    <x v="2"/>
    <x v="6"/>
    <x v="2"/>
    <n v="550.65"/>
    <x v="0"/>
    <n v="0"/>
    <n v="52.79"/>
  </r>
  <r>
    <x v="225"/>
    <x v="170"/>
    <d v="2023-08-30T00:00:00"/>
    <x v="3"/>
    <s v="Texas"/>
    <x v="0"/>
    <x v="1"/>
    <x v="0"/>
    <n v="424.85"/>
    <x v="7"/>
    <n v="0.15"/>
    <n v="43.5"/>
  </r>
  <r>
    <x v="226"/>
    <x v="133"/>
    <d v="2023-02-17T00:00:00"/>
    <x v="0"/>
    <s v="Washington"/>
    <x v="2"/>
    <x v="6"/>
    <x v="0"/>
    <n v="308.81"/>
    <x v="1"/>
    <n v="0.2"/>
    <n v="-19.579999999999998"/>
  </r>
  <r>
    <x v="227"/>
    <x v="171"/>
    <d v="2023-04-12T00:00:00"/>
    <x v="3"/>
    <s v="Washington"/>
    <x v="1"/>
    <x v="3"/>
    <x v="2"/>
    <n v="157.61000000000001"/>
    <x v="0"/>
    <n v="0.1"/>
    <n v="26.84"/>
  </r>
  <r>
    <x v="228"/>
    <x v="172"/>
    <d v="2023-04-30T00:00:00"/>
    <x v="2"/>
    <s v="Florida"/>
    <x v="2"/>
    <x v="6"/>
    <x v="1"/>
    <n v="359.21"/>
    <x v="0"/>
    <n v="0.15"/>
    <n v="54.59"/>
  </r>
  <r>
    <x v="229"/>
    <x v="99"/>
    <d v="2023-06-04T00:00:00"/>
    <x v="3"/>
    <s v="Washington"/>
    <x v="2"/>
    <x v="4"/>
    <x v="2"/>
    <n v="838.88"/>
    <x v="2"/>
    <n v="0.2"/>
    <n v="52.86"/>
  </r>
  <r>
    <x v="230"/>
    <x v="161"/>
    <d v="2023-12-07T00:00:00"/>
    <x v="0"/>
    <s v="Texas"/>
    <x v="0"/>
    <x v="0"/>
    <x v="0"/>
    <n v="87.86"/>
    <x v="6"/>
    <n v="0"/>
    <n v="-2.64"/>
  </r>
  <r>
    <x v="231"/>
    <x v="173"/>
    <d v="2023-06-15T00:00:00"/>
    <x v="2"/>
    <s v="Illinois"/>
    <x v="0"/>
    <x v="0"/>
    <x v="0"/>
    <n v="875.19"/>
    <x v="9"/>
    <n v="0.15"/>
    <n v="220.66"/>
  </r>
  <r>
    <x v="232"/>
    <x v="174"/>
    <d v="2023-05-13T00:00:00"/>
    <x v="0"/>
    <s v="Florida"/>
    <x v="2"/>
    <x v="4"/>
    <x v="2"/>
    <n v="240.81"/>
    <x v="1"/>
    <n v="0.15"/>
    <n v="8.8800000000000008"/>
  </r>
  <r>
    <x v="233"/>
    <x v="175"/>
    <d v="2023-07-11T00:00:00"/>
    <x v="1"/>
    <s v="New York"/>
    <x v="2"/>
    <x v="4"/>
    <x v="1"/>
    <n v="956.17"/>
    <x v="4"/>
    <n v="0.1"/>
    <n v="4.2300000000000004"/>
  </r>
  <r>
    <x v="234"/>
    <x v="31"/>
    <d v="2023-05-06T00:00:00"/>
    <x v="2"/>
    <s v="Illinois"/>
    <x v="0"/>
    <x v="0"/>
    <x v="2"/>
    <n v="699.26"/>
    <x v="2"/>
    <n v="0.3"/>
    <n v="-93.99"/>
  </r>
  <r>
    <x v="235"/>
    <x v="176"/>
    <d v="2023-01-19T00:00:00"/>
    <x v="2"/>
    <s v="Illinois"/>
    <x v="2"/>
    <x v="6"/>
    <x v="2"/>
    <n v="686.63"/>
    <x v="1"/>
    <n v="0.3"/>
    <n v="-17.39"/>
  </r>
  <r>
    <x v="236"/>
    <x v="154"/>
    <d v="2023-09-07T00:00:00"/>
    <x v="0"/>
    <s v="Florida"/>
    <x v="2"/>
    <x v="4"/>
    <x v="2"/>
    <n v="570.19000000000005"/>
    <x v="7"/>
    <n v="0.2"/>
    <n v="51.07"/>
  </r>
  <r>
    <x v="237"/>
    <x v="177"/>
    <d v="2023-07-11T00:00:00"/>
    <x v="3"/>
    <s v="New York"/>
    <x v="1"/>
    <x v="5"/>
    <x v="1"/>
    <n v="750.86"/>
    <x v="3"/>
    <n v="0.3"/>
    <n v="22.79"/>
  </r>
  <r>
    <x v="238"/>
    <x v="153"/>
    <d v="2023-07-31T00:00:00"/>
    <x v="1"/>
    <s v="Washington"/>
    <x v="0"/>
    <x v="2"/>
    <x v="0"/>
    <n v="475.22"/>
    <x v="2"/>
    <n v="0.2"/>
    <n v="101.39"/>
  </r>
  <r>
    <x v="239"/>
    <x v="178"/>
    <d v="2023-10-27T00:00:00"/>
    <x v="2"/>
    <s v="Florida"/>
    <x v="2"/>
    <x v="8"/>
    <x v="2"/>
    <n v="281.20999999999998"/>
    <x v="4"/>
    <n v="0.2"/>
    <n v="47.86"/>
  </r>
  <r>
    <x v="240"/>
    <x v="179"/>
    <d v="2023-04-11T00:00:00"/>
    <x v="3"/>
    <s v="Florida"/>
    <x v="1"/>
    <x v="5"/>
    <x v="0"/>
    <n v="84.39"/>
    <x v="7"/>
    <n v="0.2"/>
    <n v="-1"/>
  </r>
  <r>
    <x v="241"/>
    <x v="50"/>
    <d v="2023-01-15T00:00:00"/>
    <x v="0"/>
    <s v="Illinois"/>
    <x v="0"/>
    <x v="0"/>
    <x v="0"/>
    <n v="221.61"/>
    <x v="9"/>
    <n v="0.2"/>
    <n v="40.74"/>
  </r>
  <r>
    <x v="242"/>
    <x v="180"/>
    <d v="2023-07-26T00:00:00"/>
    <x v="2"/>
    <s v="Texas"/>
    <x v="2"/>
    <x v="6"/>
    <x v="2"/>
    <n v="50.37"/>
    <x v="7"/>
    <n v="0.3"/>
    <n v="7.87"/>
  </r>
  <r>
    <x v="243"/>
    <x v="174"/>
    <d v="2023-05-15T00:00:00"/>
    <x v="3"/>
    <s v="Illinois"/>
    <x v="1"/>
    <x v="5"/>
    <x v="0"/>
    <n v="234.59"/>
    <x v="5"/>
    <n v="0"/>
    <n v="47.35"/>
  </r>
  <r>
    <x v="244"/>
    <x v="14"/>
    <d v="2023-04-07T00:00:00"/>
    <x v="1"/>
    <s v="Florida"/>
    <x v="0"/>
    <x v="2"/>
    <x v="1"/>
    <n v="471.6"/>
    <x v="6"/>
    <n v="0"/>
    <n v="20.43"/>
  </r>
  <r>
    <x v="245"/>
    <x v="181"/>
    <d v="2023-08-30T00:00:00"/>
    <x v="0"/>
    <s v="California"/>
    <x v="0"/>
    <x v="0"/>
    <x v="2"/>
    <n v="173.48"/>
    <x v="1"/>
    <n v="0"/>
    <n v="38.04"/>
  </r>
  <r>
    <x v="246"/>
    <x v="76"/>
    <d v="2023-08-03T00:00:00"/>
    <x v="2"/>
    <s v="Texas"/>
    <x v="1"/>
    <x v="5"/>
    <x v="0"/>
    <n v="710.58"/>
    <x v="0"/>
    <n v="0.1"/>
    <n v="72.19"/>
  </r>
  <r>
    <x v="247"/>
    <x v="182"/>
    <d v="2023-05-05T00:00:00"/>
    <x v="1"/>
    <s v="Washington"/>
    <x v="0"/>
    <x v="2"/>
    <x v="1"/>
    <n v="363"/>
    <x v="1"/>
    <n v="0.3"/>
    <n v="-20.65"/>
  </r>
  <r>
    <x v="248"/>
    <x v="183"/>
    <d v="2023-09-19T00:00:00"/>
    <x v="1"/>
    <s v="Texas"/>
    <x v="1"/>
    <x v="7"/>
    <x v="0"/>
    <n v="910.33"/>
    <x v="6"/>
    <n v="0.1"/>
    <n v="123.28"/>
  </r>
  <r>
    <x v="249"/>
    <x v="70"/>
    <d v="2023-07-23T00:00:00"/>
    <x v="3"/>
    <s v="Illinois"/>
    <x v="1"/>
    <x v="5"/>
    <x v="1"/>
    <n v="864.88"/>
    <x v="7"/>
    <n v="0.15"/>
    <n v="9.0500000000000007"/>
  </r>
  <r>
    <x v="250"/>
    <x v="114"/>
    <d v="2023-08-19T00:00:00"/>
    <x v="3"/>
    <s v="Texas"/>
    <x v="2"/>
    <x v="6"/>
    <x v="0"/>
    <n v="582.39"/>
    <x v="5"/>
    <n v="0.15"/>
    <n v="115.64"/>
  </r>
  <r>
    <x v="251"/>
    <x v="184"/>
    <d v="2023-12-17T00:00:00"/>
    <x v="1"/>
    <s v="Illinois"/>
    <x v="0"/>
    <x v="1"/>
    <x v="1"/>
    <n v="193.67"/>
    <x v="1"/>
    <n v="0.15"/>
    <n v="17.93"/>
  </r>
  <r>
    <x v="252"/>
    <x v="185"/>
    <d v="2023-12-16T00:00:00"/>
    <x v="3"/>
    <s v="New York"/>
    <x v="2"/>
    <x v="6"/>
    <x v="2"/>
    <n v="619.08000000000004"/>
    <x v="5"/>
    <n v="0.3"/>
    <n v="128.07"/>
  </r>
  <r>
    <x v="253"/>
    <x v="186"/>
    <d v="2023-08-15T00:00:00"/>
    <x v="2"/>
    <s v="New York"/>
    <x v="2"/>
    <x v="8"/>
    <x v="2"/>
    <n v="816.86"/>
    <x v="5"/>
    <n v="0.1"/>
    <n v="-102"/>
  </r>
  <r>
    <x v="254"/>
    <x v="187"/>
    <d v="2023-06-09T00:00:00"/>
    <x v="1"/>
    <s v="California"/>
    <x v="1"/>
    <x v="7"/>
    <x v="1"/>
    <n v="539.80999999999995"/>
    <x v="4"/>
    <n v="0.3"/>
    <n v="90.84"/>
  </r>
  <r>
    <x v="255"/>
    <x v="188"/>
    <d v="2023-11-29T00:00:00"/>
    <x v="3"/>
    <s v="Washington"/>
    <x v="2"/>
    <x v="8"/>
    <x v="2"/>
    <n v="383.37"/>
    <x v="1"/>
    <n v="0.15"/>
    <n v="-65.150000000000006"/>
  </r>
  <r>
    <x v="256"/>
    <x v="189"/>
    <d v="2023-07-23T00:00:00"/>
    <x v="0"/>
    <s v="Illinois"/>
    <x v="2"/>
    <x v="4"/>
    <x v="2"/>
    <n v="447.71"/>
    <x v="3"/>
    <n v="0.3"/>
    <n v="5.66"/>
  </r>
  <r>
    <x v="257"/>
    <x v="163"/>
    <d v="2023-12-21T00:00:00"/>
    <x v="1"/>
    <s v="Florida"/>
    <x v="0"/>
    <x v="2"/>
    <x v="2"/>
    <n v="795.09"/>
    <x v="2"/>
    <n v="0.1"/>
    <n v="-54.06"/>
  </r>
  <r>
    <x v="258"/>
    <x v="57"/>
    <d v="2023-03-21T00:00:00"/>
    <x v="1"/>
    <s v="New York"/>
    <x v="1"/>
    <x v="7"/>
    <x v="2"/>
    <n v="838.6"/>
    <x v="7"/>
    <n v="0.15"/>
    <n v="109.38"/>
  </r>
  <r>
    <x v="259"/>
    <x v="52"/>
    <d v="2023-04-02T00:00:00"/>
    <x v="1"/>
    <s v="California"/>
    <x v="2"/>
    <x v="6"/>
    <x v="0"/>
    <n v="611.75"/>
    <x v="7"/>
    <n v="0.1"/>
    <n v="-11.2"/>
  </r>
  <r>
    <x v="260"/>
    <x v="111"/>
    <d v="2023-08-15T00:00:00"/>
    <x v="0"/>
    <s v="Texas"/>
    <x v="2"/>
    <x v="4"/>
    <x v="1"/>
    <n v="371.44"/>
    <x v="9"/>
    <n v="0"/>
    <n v="-51.13"/>
  </r>
  <r>
    <x v="261"/>
    <x v="190"/>
    <d v="2023-04-26T00:00:00"/>
    <x v="3"/>
    <s v="Florida"/>
    <x v="1"/>
    <x v="7"/>
    <x v="0"/>
    <n v="929.14"/>
    <x v="8"/>
    <n v="0.1"/>
    <n v="177.31"/>
  </r>
  <r>
    <x v="262"/>
    <x v="191"/>
    <d v="2023-06-05T00:00:00"/>
    <x v="1"/>
    <s v="California"/>
    <x v="0"/>
    <x v="0"/>
    <x v="2"/>
    <n v="744.09"/>
    <x v="1"/>
    <n v="0.1"/>
    <n v="47"/>
  </r>
  <r>
    <x v="263"/>
    <x v="149"/>
    <d v="2023-05-19T00:00:00"/>
    <x v="0"/>
    <s v="New York"/>
    <x v="1"/>
    <x v="3"/>
    <x v="2"/>
    <n v="605.84"/>
    <x v="1"/>
    <n v="0.15"/>
    <n v="-52.17"/>
  </r>
  <r>
    <x v="264"/>
    <x v="192"/>
    <d v="2023-07-24T00:00:00"/>
    <x v="2"/>
    <s v="Texas"/>
    <x v="1"/>
    <x v="5"/>
    <x v="1"/>
    <n v="478.89"/>
    <x v="3"/>
    <n v="0.1"/>
    <n v="126.47"/>
  </r>
  <r>
    <x v="265"/>
    <x v="114"/>
    <d v="2023-08-18T00:00:00"/>
    <x v="1"/>
    <s v="Texas"/>
    <x v="0"/>
    <x v="1"/>
    <x v="2"/>
    <n v="373.05"/>
    <x v="1"/>
    <n v="0.15"/>
    <n v="18.29"/>
  </r>
  <r>
    <x v="266"/>
    <x v="175"/>
    <d v="2023-07-15T00:00:00"/>
    <x v="2"/>
    <s v="Illinois"/>
    <x v="0"/>
    <x v="1"/>
    <x v="0"/>
    <n v="984.5"/>
    <x v="5"/>
    <n v="0.15"/>
    <n v="195.07"/>
  </r>
  <r>
    <x v="267"/>
    <x v="60"/>
    <d v="2023-07-03T00:00:00"/>
    <x v="1"/>
    <s v="California"/>
    <x v="0"/>
    <x v="2"/>
    <x v="2"/>
    <n v="209.11"/>
    <x v="0"/>
    <n v="0.15"/>
    <n v="8.4700000000000006"/>
  </r>
  <r>
    <x v="268"/>
    <x v="86"/>
    <d v="2023-02-09T00:00:00"/>
    <x v="0"/>
    <s v="Florida"/>
    <x v="2"/>
    <x v="4"/>
    <x v="0"/>
    <n v="792.28"/>
    <x v="7"/>
    <n v="0.15"/>
    <n v="-14.79"/>
  </r>
  <r>
    <x v="269"/>
    <x v="75"/>
    <d v="2023-12-31T00:00:00"/>
    <x v="2"/>
    <s v="Illinois"/>
    <x v="0"/>
    <x v="0"/>
    <x v="2"/>
    <n v="117.29"/>
    <x v="6"/>
    <n v="0.3"/>
    <n v="-10.06"/>
  </r>
  <r>
    <x v="270"/>
    <x v="193"/>
    <d v="2023-12-27T00:00:00"/>
    <x v="1"/>
    <s v="California"/>
    <x v="2"/>
    <x v="4"/>
    <x v="2"/>
    <n v="70.39"/>
    <x v="1"/>
    <n v="0.2"/>
    <n v="-0.34"/>
  </r>
  <r>
    <x v="271"/>
    <x v="194"/>
    <d v="2023-10-17T00:00:00"/>
    <x v="0"/>
    <s v="Texas"/>
    <x v="1"/>
    <x v="5"/>
    <x v="1"/>
    <n v="751.44"/>
    <x v="4"/>
    <n v="0"/>
    <n v="178.25"/>
  </r>
  <r>
    <x v="272"/>
    <x v="18"/>
    <d v="2023-08-08T00:00:00"/>
    <x v="0"/>
    <s v="Texas"/>
    <x v="0"/>
    <x v="1"/>
    <x v="1"/>
    <n v="104.88"/>
    <x v="4"/>
    <n v="0.2"/>
    <n v="-15.43"/>
  </r>
  <r>
    <x v="273"/>
    <x v="195"/>
    <d v="2023-02-19T00:00:00"/>
    <x v="1"/>
    <s v="New York"/>
    <x v="1"/>
    <x v="5"/>
    <x v="2"/>
    <n v="689.16"/>
    <x v="4"/>
    <n v="0.15"/>
    <n v="41.35"/>
  </r>
  <r>
    <x v="274"/>
    <x v="196"/>
    <d v="2023-07-28T00:00:00"/>
    <x v="0"/>
    <s v="Washington"/>
    <x v="0"/>
    <x v="0"/>
    <x v="2"/>
    <n v="849.91"/>
    <x v="5"/>
    <n v="0"/>
    <n v="0.66"/>
  </r>
  <r>
    <x v="275"/>
    <x v="104"/>
    <d v="2023-11-29T00:00:00"/>
    <x v="2"/>
    <s v="Texas"/>
    <x v="1"/>
    <x v="7"/>
    <x v="2"/>
    <n v="667.67"/>
    <x v="0"/>
    <n v="0.3"/>
    <n v="73.3"/>
  </r>
  <r>
    <x v="276"/>
    <x v="197"/>
    <d v="2023-11-06T00:00:00"/>
    <x v="3"/>
    <s v="Washington"/>
    <x v="2"/>
    <x v="4"/>
    <x v="2"/>
    <n v="132.51"/>
    <x v="8"/>
    <n v="0.2"/>
    <n v="-10.65"/>
  </r>
  <r>
    <x v="277"/>
    <x v="198"/>
    <d v="2023-07-26T00:00:00"/>
    <x v="0"/>
    <s v="Florida"/>
    <x v="1"/>
    <x v="5"/>
    <x v="0"/>
    <n v="553.61"/>
    <x v="2"/>
    <n v="0.3"/>
    <n v="-38.869999999999997"/>
  </r>
  <r>
    <x v="278"/>
    <x v="199"/>
    <d v="2023-11-21T00:00:00"/>
    <x v="3"/>
    <s v="Illinois"/>
    <x v="0"/>
    <x v="1"/>
    <x v="2"/>
    <n v="683.29"/>
    <x v="6"/>
    <n v="0.3"/>
    <n v="33.79"/>
  </r>
  <r>
    <x v="279"/>
    <x v="200"/>
    <d v="2023-11-07T00:00:00"/>
    <x v="0"/>
    <s v="Florida"/>
    <x v="1"/>
    <x v="5"/>
    <x v="1"/>
    <n v="207.06"/>
    <x v="2"/>
    <n v="0.1"/>
    <n v="-1.19"/>
  </r>
  <r>
    <x v="280"/>
    <x v="154"/>
    <d v="2023-09-07T00:00:00"/>
    <x v="0"/>
    <s v="Florida"/>
    <x v="2"/>
    <x v="6"/>
    <x v="0"/>
    <n v="267.26"/>
    <x v="2"/>
    <n v="0.3"/>
    <n v="14.12"/>
  </r>
  <r>
    <x v="281"/>
    <x v="201"/>
    <d v="2023-01-13T00:00:00"/>
    <x v="1"/>
    <s v="Washington"/>
    <x v="1"/>
    <x v="7"/>
    <x v="1"/>
    <n v="128.54"/>
    <x v="3"/>
    <n v="0.3"/>
    <n v="-3.37"/>
  </r>
  <r>
    <x v="282"/>
    <x v="20"/>
    <d v="2023-10-05T00:00:00"/>
    <x v="0"/>
    <s v="California"/>
    <x v="2"/>
    <x v="6"/>
    <x v="1"/>
    <n v="541.67999999999995"/>
    <x v="5"/>
    <n v="0"/>
    <n v="123.53"/>
  </r>
  <r>
    <x v="283"/>
    <x v="202"/>
    <d v="2023-12-05T00:00:00"/>
    <x v="1"/>
    <s v="Illinois"/>
    <x v="2"/>
    <x v="8"/>
    <x v="2"/>
    <n v="749.46"/>
    <x v="4"/>
    <n v="0.15"/>
    <n v="144.91999999999999"/>
  </r>
  <r>
    <x v="284"/>
    <x v="119"/>
    <d v="2023-12-10T00:00:00"/>
    <x v="3"/>
    <s v="California"/>
    <x v="1"/>
    <x v="5"/>
    <x v="0"/>
    <n v="33.57"/>
    <x v="1"/>
    <n v="0.2"/>
    <n v="-1.8"/>
  </r>
  <r>
    <x v="285"/>
    <x v="153"/>
    <d v="2023-08-01T00:00:00"/>
    <x v="2"/>
    <s v="Texas"/>
    <x v="2"/>
    <x v="4"/>
    <x v="2"/>
    <n v="200.16"/>
    <x v="2"/>
    <n v="0.2"/>
    <n v="-16.86"/>
  </r>
  <r>
    <x v="286"/>
    <x v="203"/>
    <d v="2023-06-12T00:00:00"/>
    <x v="2"/>
    <s v="Florida"/>
    <x v="2"/>
    <x v="4"/>
    <x v="2"/>
    <n v="525.54"/>
    <x v="5"/>
    <n v="0.15"/>
    <n v="47.6"/>
  </r>
  <r>
    <x v="287"/>
    <x v="106"/>
    <d v="2023-06-12T00:00:00"/>
    <x v="0"/>
    <s v="Washington"/>
    <x v="1"/>
    <x v="5"/>
    <x v="0"/>
    <n v="198.07"/>
    <x v="8"/>
    <n v="0"/>
    <n v="52.94"/>
  </r>
  <r>
    <x v="288"/>
    <x v="103"/>
    <d v="2023-03-16T00:00:00"/>
    <x v="0"/>
    <s v="New York"/>
    <x v="1"/>
    <x v="7"/>
    <x v="1"/>
    <n v="450.72"/>
    <x v="7"/>
    <n v="0.1"/>
    <n v="-40.659999999999997"/>
  </r>
  <r>
    <x v="289"/>
    <x v="204"/>
    <d v="2023-10-19T00:00:00"/>
    <x v="2"/>
    <s v="Illinois"/>
    <x v="1"/>
    <x v="5"/>
    <x v="2"/>
    <n v="959.41"/>
    <x v="6"/>
    <n v="0"/>
    <n v="222.17"/>
  </r>
  <r>
    <x v="290"/>
    <x v="205"/>
    <d v="2023-06-01T00:00:00"/>
    <x v="2"/>
    <s v="Washington"/>
    <x v="2"/>
    <x v="6"/>
    <x v="2"/>
    <n v="530.99"/>
    <x v="2"/>
    <n v="0.15"/>
    <n v="72.36"/>
  </r>
  <r>
    <x v="291"/>
    <x v="86"/>
    <d v="2023-02-04T00:00:00"/>
    <x v="0"/>
    <s v="New York"/>
    <x v="1"/>
    <x v="7"/>
    <x v="1"/>
    <n v="647.02"/>
    <x v="1"/>
    <n v="0"/>
    <n v="-41.5"/>
  </r>
  <r>
    <x v="292"/>
    <x v="206"/>
    <d v="2023-12-06T00:00:00"/>
    <x v="2"/>
    <s v="Florida"/>
    <x v="1"/>
    <x v="7"/>
    <x v="2"/>
    <n v="540.08000000000004"/>
    <x v="8"/>
    <n v="0"/>
    <n v="-9.7100000000000009"/>
  </r>
  <r>
    <x v="293"/>
    <x v="207"/>
    <d v="2023-01-24T00:00:00"/>
    <x v="3"/>
    <s v="New York"/>
    <x v="2"/>
    <x v="8"/>
    <x v="1"/>
    <n v="721.25"/>
    <x v="7"/>
    <n v="0.3"/>
    <n v="-43.86"/>
  </r>
  <r>
    <x v="294"/>
    <x v="42"/>
    <d v="2023-07-11T00:00:00"/>
    <x v="2"/>
    <s v="Florida"/>
    <x v="0"/>
    <x v="0"/>
    <x v="1"/>
    <n v="866.58"/>
    <x v="6"/>
    <n v="0"/>
    <n v="-16.760000000000002"/>
  </r>
  <r>
    <x v="295"/>
    <x v="208"/>
    <d v="2023-09-18T00:00:00"/>
    <x v="2"/>
    <s v="Florida"/>
    <x v="2"/>
    <x v="8"/>
    <x v="1"/>
    <n v="858.95"/>
    <x v="6"/>
    <n v="0.3"/>
    <n v="-47.85"/>
  </r>
  <r>
    <x v="296"/>
    <x v="209"/>
    <d v="2023-01-08T00:00:00"/>
    <x v="2"/>
    <s v="Washington"/>
    <x v="2"/>
    <x v="8"/>
    <x v="1"/>
    <n v="531.5"/>
    <x v="4"/>
    <n v="0"/>
    <n v="62.96"/>
  </r>
  <r>
    <x v="297"/>
    <x v="78"/>
    <d v="2023-05-12T00:00:00"/>
    <x v="3"/>
    <s v="New York"/>
    <x v="0"/>
    <x v="2"/>
    <x v="0"/>
    <n v="634.46"/>
    <x v="2"/>
    <n v="0"/>
    <n v="-35.049999999999997"/>
  </r>
  <r>
    <x v="298"/>
    <x v="210"/>
    <d v="2023-06-17T00:00:00"/>
    <x v="0"/>
    <s v="Washington"/>
    <x v="1"/>
    <x v="7"/>
    <x v="2"/>
    <n v="539.04"/>
    <x v="3"/>
    <n v="0.1"/>
    <n v="61.94"/>
  </r>
  <r>
    <x v="299"/>
    <x v="171"/>
    <d v="2023-04-11T00:00:00"/>
    <x v="2"/>
    <s v="Washington"/>
    <x v="2"/>
    <x v="8"/>
    <x v="2"/>
    <n v="940.19"/>
    <x v="8"/>
    <n v="0.1"/>
    <n v="-3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11A5A3-D413-4EC9-A05D-93F70A18B17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E9" firstHeaderRow="1" firstDataRow="2" firstDataCol="1"/>
  <pivotFields count="15">
    <pivotField showAll="0"/>
    <pivotField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axis="axisRow" showAll="0">
      <items count="5">
        <item x="2"/>
        <item x="1"/>
        <item x="3"/>
        <item x="0"/>
        <item t="default"/>
      </items>
    </pivotField>
    <pivotField showAll="0"/>
    <pivotField showAll="0">
      <items count="4">
        <item x="2"/>
        <item x="0"/>
        <item x="1"/>
        <item t="default"/>
      </items>
    </pivotField>
    <pivotField showAll="0"/>
    <pivotField axis="axisCol" showAll="0">
      <items count="4">
        <item x="2"/>
        <item x="1"/>
        <item x="0"/>
        <item t="default"/>
      </items>
    </pivotField>
    <pivotField numFmtId="164" showAll="0"/>
    <pivotField dataField="1" numFmtId="1" showAll="0"/>
    <pivotField numFmtId="2" showAll="0"/>
    <pivotField numFmtId="2"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Fields count="1">
    <field x="7"/>
  </colFields>
  <colItems count="4">
    <i>
      <x/>
    </i>
    <i>
      <x v="1"/>
    </i>
    <i>
      <x v="2"/>
    </i>
    <i t="grand">
      <x/>
    </i>
  </colItems>
  <dataFields count="1">
    <dataField name="Sum of Quantity" fld="9" baseField="0" baseItem="0" numFmtId="1"/>
  </dataFields>
  <chartFormats count="3">
    <chartFormat chart="13" format="12" series="1">
      <pivotArea type="data" outline="0" fieldPosition="0">
        <references count="2">
          <reference field="4294967294" count="1" selected="0">
            <x v="0"/>
          </reference>
          <reference field="7" count="1" selected="0">
            <x v="0"/>
          </reference>
        </references>
      </pivotArea>
    </chartFormat>
    <chartFormat chart="13" format="13" series="1">
      <pivotArea type="data" outline="0" fieldPosition="0">
        <references count="2">
          <reference field="4294967294" count="1" selected="0">
            <x v="0"/>
          </reference>
          <reference field="7" count="1" selected="0">
            <x v="1"/>
          </reference>
        </references>
      </pivotArea>
    </chartFormat>
    <chartFormat chart="13" format="1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4E7161-2A89-49B9-8783-A4BB239C165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N2:O15" firstHeaderRow="1" firstDataRow="1" firstDataCol="1"/>
  <pivotFields count="15">
    <pivotField showAll="0"/>
    <pivotField axis="axisRow"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showAll="0">
      <items count="5">
        <item x="2"/>
        <item x="1"/>
        <item x="3"/>
        <item x="0"/>
        <item t="default"/>
      </items>
    </pivotField>
    <pivotField showAll="0"/>
    <pivotField showAll="0">
      <items count="4">
        <item x="2"/>
        <item x="0"/>
        <item x="1"/>
        <item t="default"/>
      </items>
    </pivotField>
    <pivotField showAll="0"/>
    <pivotField showAll="0">
      <items count="4">
        <item x="2"/>
        <item x="1"/>
        <item x="0"/>
        <item t="default"/>
      </items>
    </pivotField>
    <pivotField dataField="1" numFmtId="164" showAll="0"/>
    <pivotField numFmtId="1" showAll="0"/>
    <pivotField numFmtId="2" showAll="0"/>
    <pivotField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2"/>
    <field x="1"/>
  </rowFields>
  <rowItems count="13">
    <i>
      <x v="1"/>
    </i>
    <i>
      <x v="2"/>
    </i>
    <i>
      <x v="3"/>
    </i>
    <i>
      <x v="4"/>
    </i>
    <i>
      <x v="5"/>
    </i>
    <i>
      <x v="6"/>
    </i>
    <i>
      <x v="7"/>
    </i>
    <i>
      <x v="8"/>
    </i>
    <i>
      <x v="9"/>
    </i>
    <i>
      <x v="10"/>
    </i>
    <i>
      <x v="11"/>
    </i>
    <i>
      <x v="12"/>
    </i>
    <i t="grand">
      <x/>
    </i>
  </rowItems>
  <colItems count="1">
    <i/>
  </colItems>
  <dataFields count="1">
    <dataField name="Sum of Sales" fld="8" baseField="12" baseItem="8" numFmtId="166"/>
  </dataFields>
  <chartFormats count="4">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D838EC-51E2-4E71-A209-5D141B9D5F0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T2:U7" firstHeaderRow="1" firstDataRow="1" firstDataCol="1"/>
  <pivotFields count="15">
    <pivotField showAll="0"/>
    <pivotField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axis="axisRow" showAll="0">
      <items count="5">
        <item x="2"/>
        <item x="1"/>
        <item x="3"/>
        <item x="0"/>
        <item t="default"/>
      </items>
    </pivotField>
    <pivotField showAll="0"/>
    <pivotField showAll="0">
      <items count="4">
        <item x="2"/>
        <item x="0"/>
        <item x="1"/>
        <item t="default"/>
      </items>
    </pivotField>
    <pivotField showAll="0"/>
    <pivotField showAll="0">
      <items count="4">
        <item x="2"/>
        <item x="1"/>
        <item x="0"/>
        <item t="default"/>
      </items>
    </pivotField>
    <pivotField dataField="1" numFmtId="164" showAll="0"/>
    <pivotField numFmtId="1" showAll="0"/>
    <pivotField numFmtId="2" showAll="0"/>
    <pivotField numFmtId="2"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5">
    <i>
      <x/>
    </i>
    <i>
      <x v="1"/>
    </i>
    <i>
      <x v="2"/>
    </i>
    <i>
      <x v="3"/>
    </i>
    <i t="grand">
      <x/>
    </i>
  </rowItems>
  <colItems count="1">
    <i/>
  </colItems>
  <dataFields count="1">
    <dataField name="Sum of Sales" fld="8" baseField="0" baseItem="0" numFmtId="166"/>
  </dataFields>
  <chartFormats count="4">
    <chartFormat chart="10"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B7A0AC-0183-4FAA-AC44-CB4D5D9B450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N17:P30" firstHeaderRow="0" firstDataRow="1" firstDataCol="1"/>
  <pivotFields count="15">
    <pivotField showAll="0"/>
    <pivotField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showAll="0">
      <items count="5">
        <item x="2"/>
        <item x="1"/>
        <item x="3"/>
        <item x="0"/>
        <item t="default"/>
      </items>
    </pivotField>
    <pivotField showAll="0"/>
    <pivotField axis="axisRow" showAll="0">
      <items count="4">
        <item x="2"/>
        <item x="0"/>
        <item x="1"/>
        <item t="default"/>
      </items>
    </pivotField>
    <pivotField axis="axisRow" showAll="0">
      <items count="10">
        <item x="3"/>
        <item x="2"/>
        <item x="8"/>
        <item x="6"/>
        <item x="7"/>
        <item x="0"/>
        <item x="5"/>
        <item x="1"/>
        <item x="4"/>
        <item t="default"/>
      </items>
    </pivotField>
    <pivotField showAll="0">
      <items count="4">
        <item x="2"/>
        <item x="1"/>
        <item x="0"/>
        <item t="default"/>
      </items>
    </pivotField>
    <pivotField dataField="1" numFmtId="164" showAll="0"/>
    <pivotField numFmtId="1" showAll="0"/>
    <pivotField numFmtId="2" showAll="0"/>
    <pivotField dataField="1"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2">
    <field x="5"/>
    <field x="6"/>
  </rowFields>
  <rowItems count="13">
    <i>
      <x/>
    </i>
    <i r="1">
      <x v="2"/>
    </i>
    <i r="1">
      <x v="3"/>
    </i>
    <i r="1">
      <x v="8"/>
    </i>
    <i>
      <x v="1"/>
    </i>
    <i r="1">
      <x v="1"/>
    </i>
    <i r="1">
      <x v="5"/>
    </i>
    <i r="1">
      <x v="7"/>
    </i>
    <i>
      <x v="2"/>
    </i>
    <i r="1">
      <x/>
    </i>
    <i r="1">
      <x v="4"/>
    </i>
    <i r="1">
      <x v="6"/>
    </i>
    <i t="grand">
      <x/>
    </i>
  </rowItems>
  <colFields count="1">
    <field x="-2"/>
  </colFields>
  <colItems count="2">
    <i>
      <x/>
    </i>
    <i i="1">
      <x v="1"/>
    </i>
  </colItems>
  <dataFields count="2">
    <dataField name="Sum of Sales" fld="8" baseField="5" baseItem="0" numFmtId="166"/>
    <dataField name="Sum of Profit" fld="11" baseField="6" baseItem="0" numFmtId="166"/>
  </dataFields>
  <chartFormats count="6">
    <chartFormat chart="6" format="0" series="1">
      <pivotArea type="data" outline="0" fieldPosition="0">
        <references count="1">
          <reference field="4294967294" count="1" selected="0">
            <x v="1"/>
          </reference>
        </references>
      </pivotArea>
    </chartFormat>
    <chartFormat chart="6" format="1">
      <pivotArea type="data" outline="0" fieldPosition="0">
        <references count="2">
          <reference field="4294967294" count="1" selected="0">
            <x v="1"/>
          </reference>
          <reference field="6"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E652EF-FFDE-42DE-B1CB-0AC78FA009C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2:I15" firstHeaderRow="0" firstDataRow="1" firstDataCol="1"/>
  <pivotFields count="15">
    <pivotField showAll="0"/>
    <pivotField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showAll="0">
      <items count="5">
        <item x="2"/>
        <item x="1"/>
        <item x="3"/>
        <item x="0"/>
        <item t="default"/>
      </items>
    </pivotField>
    <pivotField showAll="0"/>
    <pivotField showAll="0">
      <items count="4">
        <item x="2"/>
        <item x="0"/>
        <item x="1"/>
        <item t="default"/>
      </items>
    </pivotField>
    <pivotField showAll="0"/>
    <pivotField showAll="0">
      <items count="4">
        <item x="2"/>
        <item x="1"/>
        <item x="0"/>
        <item t="default"/>
      </items>
    </pivotField>
    <pivotField dataField="1" numFmtId="164" showAll="0"/>
    <pivotField numFmtId="1" showAll="0"/>
    <pivotField numFmtId="2" showAll="0"/>
    <pivotField dataField="1" numFmtId="2"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8" baseField="12" baseItem="5" numFmtId="166"/>
    <dataField name="Sum of Profit" fld="11" baseField="12" baseItem="5" numFmtId="166"/>
  </dataFields>
  <chartFormats count="2">
    <chartFormat chart="20" format="16" series="1">
      <pivotArea type="data" outline="0" fieldPosition="0">
        <references count="1">
          <reference field="4294967294" count="1" selected="0">
            <x v="0"/>
          </reference>
        </references>
      </pivotArea>
    </chartFormat>
    <chartFormat chart="20"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6F1CF2-9753-42E5-A4C1-48FD932EAB5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14:R15" firstHeaderRow="1" firstDataRow="1" firstDataCol="0"/>
  <pivotFields count="15">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showAll="0">
      <items count="5">
        <item x="2"/>
        <item x="1"/>
        <item x="3"/>
        <item x="0"/>
        <item t="default"/>
      </items>
    </pivotField>
    <pivotField showAll="0"/>
    <pivotField showAll="0">
      <items count="4">
        <item x="2"/>
        <item x="0"/>
        <item x="1"/>
        <item t="default"/>
      </items>
    </pivotField>
    <pivotField showAll="0"/>
    <pivotField showAll="0">
      <items count="4">
        <item x="2"/>
        <item x="1"/>
        <item x="0"/>
        <item t="default"/>
      </items>
    </pivotField>
    <pivotField numFmtId="164" showAll="0"/>
    <pivotField numFmtId="1" showAll="0"/>
    <pivotField numFmtId="2"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21EF05-BE53-4AFE-A595-B7D0FC8234C5}"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Q8:Q9" firstHeaderRow="1" firstDataRow="1" firstDataCol="0"/>
  <pivotFields count="15">
    <pivotField showAll="0"/>
    <pivotField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showAll="0">
      <items count="5">
        <item x="2"/>
        <item x="1"/>
        <item x="3"/>
        <item x="0"/>
        <item t="default"/>
      </items>
    </pivotField>
    <pivotField showAll="0"/>
    <pivotField showAll="0">
      <items count="4">
        <item x="2"/>
        <item x="0"/>
        <item x="1"/>
        <item t="default"/>
      </items>
    </pivotField>
    <pivotField showAll="0"/>
    <pivotField showAll="0">
      <items count="4">
        <item x="2"/>
        <item x="1"/>
        <item x="0"/>
        <item t="default"/>
      </items>
    </pivotField>
    <pivotField dataField="1" numFmtId="164" showAll="0"/>
    <pivotField numFmtId="1" showAll="0"/>
    <pivotField numFmtId="2"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Sales" fld="8" baseField="0" baseItem="0" numFmtId="165"/>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428FB1-04F0-48C8-B2CF-231499D95D44}"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Q2:Q3" firstHeaderRow="1" firstDataRow="1" firstDataCol="0"/>
  <pivotFields count="15">
    <pivotField showAll="0"/>
    <pivotField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showAll="0">
      <items count="5">
        <item x="2"/>
        <item x="1"/>
        <item x="3"/>
        <item x="0"/>
        <item t="default"/>
      </items>
    </pivotField>
    <pivotField showAll="0"/>
    <pivotField showAll="0">
      <items count="4">
        <item x="2"/>
        <item x="0"/>
        <item x="1"/>
        <item t="default"/>
      </items>
    </pivotField>
    <pivotField showAll="0"/>
    <pivotField showAll="0">
      <items count="4">
        <item x="2"/>
        <item x="1"/>
        <item x="0"/>
        <item t="default"/>
      </items>
    </pivotField>
    <pivotField numFmtId="164" showAll="0"/>
    <pivotField numFmtId="1" showAll="0">
      <items count="11">
        <item x="5"/>
        <item x="3"/>
        <item x="4"/>
        <item x="1"/>
        <item x="0"/>
        <item x="8"/>
        <item x="6"/>
        <item x="2"/>
        <item x="7"/>
        <item x="9"/>
        <item t="default"/>
      </items>
    </pivotField>
    <pivotField numFmtId="2" showAll="0"/>
    <pivotField dataField="1"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Profit" fld="11" baseField="0" baseItem="0" numFmtId="16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16524D-E9BE-4C36-A3E8-2837B5ED18F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2:L6" firstHeaderRow="1" firstDataRow="1" firstDataCol="1"/>
  <pivotFields count="15">
    <pivotField showAll="0"/>
    <pivotField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showAll="0">
      <items count="5">
        <item x="2"/>
        <item x="1"/>
        <item x="3"/>
        <item x="0"/>
        <item t="default"/>
      </items>
    </pivotField>
    <pivotField showAll="0"/>
    <pivotField showAll="0">
      <items count="4">
        <item x="2"/>
        <item x="0"/>
        <item x="1"/>
        <item t="default"/>
      </items>
    </pivotField>
    <pivotField showAll="0"/>
    <pivotField axis="axisRow" showAll="0">
      <items count="4">
        <item x="2"/>
        <item x="1"/>
        <item x="0"/>
        <item t="default"/>
      </items>
    </pivotField>
    <pivotField numFmtId="164" showAll="0"/>
    <pivotField dataField="1" numFmtId="1" showAll="0"/>
    <pivotField numFmtId="2"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7"/>
  </rowFields>
  <rowItems count="4">
    <i>
      <x/>
    </i>
    <i>
      <x v="1"/>
    </i>
    <i>
      <x v="2"/>
    </i>
    <i t="grand">
      <x/>
    </i>
  </rowItems>
  <colItems count="1">
    <i/>
  </colItems>
  <dataFields count="1">
    <dataField name="Sum of Quantity" fld="9" baseField="0" baseItem="0" numFmtId="1"/>
  </dataFields>
  <chartFormats count="4">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7" count="1" selected="0">
            <x v="0"/>
          </reference>
        </references>
      </pivotArea>
    </chartFormat>
    <chartFormat chart="13" format="15">
      <pivotArea type="data" outline="0" fieldPosition="0">
        <references count="2">
          <reference field="4294967294" count="1" selected="0">
            <x v="0"/>
          </reference>
          <reference field="7" count="1" selected="0">
            <x v="1"/>
          </reference>
        </references>
      </pivotArea>
    </chartFormat>
    <chartFormat chart="13"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00487D-C3B5-404D-9D4B-2D2CDB00949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11:L21" firstHeaderRow="1" firstDataRow="1" firstDataCol="1"/>
  <pivotFields count="15">
    <pivotField showAll="0"/>
    <pivotField numFmtId="14" showAll="0">
      <items count="212">
        <item x="51"/>
        <item x="209"/>
        <item x="201"/>
        <item x="113"/>
        <item x="53"/>
        <item x="50"/>
        <item x="176"/>
        <item x="82"/>
        <item x="207"/>
        <item x="136"/>
        <item x="3"/>
        <item x="158"/>
        <item x="65"/>
        <item x="9"/>
        <item x="95"/>
        <item x="134"/>
        <item x="59"/>
        <item x="86"/>
        <item x="166"/>
        <item x="4"/>
        <item x="156"/>
        <item x="93"/>
        <item x="133"/>
        <item x="24"/>
        <item x="195"/>
        <item x="67"/>
        <item x="15"/>
        <item x="91"/>
        <item x="101"/>
        <item x="37"/>
        <item x="102"/>
        <item x="142"/>
        <item x="150"/>
        <item x="92"/>
        <item x="124"/>
        <item x="68"/>
        <item x="148"/>
        <item x="35"/>
        <item x="57"/>
        <item x="103"/>
        <item x="146"/>
        <item x="44"/>
        <item x="155"/>
        <item x="109"/>
        <item x="34"/>
        <item x="159"/>
        <item x="90"/>
        <item x="52"/>
        <item x="14"/>
        <item x="118"/>
        <item x="171"/>
        <item x="112"/>
        <item x="179"/>
        <item x="152"/>
        <item x="135"/>
        <item x="169"/>
        <item x="130"/>
        <item x="38"/>
        <item x="190"/>
        <item x="80"/>
        <item x="71"/>
        <item x="172"/>
        <item x="16"/>
        <item x="31"/>
        <item x="182"/>
        <item x="110"/>
        <item x="141"/>
        <item x="12"/>
        <item x="28"/>
        <item x="174"/>
        <item x="78"/>
        <item x="125"/>
        <item x="149"/>
        <item x="25"/>
        <item x="1"/>
        <item x="10"/>
        <item x="27"/>
        <item x="162"/>
        <item x="205"/>
        <item x="39"/>
        <item x="191"/>
        <item x="72"/>
        <item x="99"/>
        <item x="187"/>
        <item x="97"/>
        <item x="203"/>
        <item x="88"/>
        <item x="132"/>
        <item x="173"/>
        <item x="106"/>
        <item x="210"/>
        <item x="58"/>
        <item x="29"/>
        <item x="21"/>
        <item x="77"/>
        <item x="107"/>
        <item x="123"/>
        <item x="87"/>
        <item x="60"/>
        <item x="144"/>
        <item x="11"/>
        <item x="120"/>
        <item x="108"/>
        <item x="177"/>
        <item x="42"/>
        <item x="116"/>
        <item x="43"/>
        <item x="175"/>
        <item x="129"/>
        <item x="84"/>
        <item x="160"/>
        <item x="143"/>
        <item x="17"/>
        <item x="49"/>
        <item x="189"/>
        <item x="164"/>
        <item x="70"/>
        <item x="180"/>
        <item x="192"/>
        <item x="0"/>
        <item x="198"/>
        <item x="196"/>
        <item x="41"/>
        <item x="153"/>
        <item x="6"/>
        <item x="138"/>
        <item x="76"/>
        <item x="81"/>
        <item x="18"/>
        <item x="62"/>
        <item x="140"/>
        <item x="100"/>
        <item x="47"/>
        <item x="83"/>
        <item x="111"/>
        <item x="186"/>
        <item x="114"/>
        <item x="22"/>
        <item x="66"/>
        <item x="181"/>
        <item x="73"/>
        <item x="170"/>
        <item x="46"/>
        <item x="61"/>
        <item x="8"/>
        <item x="154"/>
        <item x="121"/>
        <item x="183"/>
        <item x="127"/>
        <item x="128"/>
        <item x="208"/>
        <item x="96"/>
        <item x="165"/>
        <item x="63"/>
        <item x="98"/>
        <item x="157"/>
        <item x="20"/>
        <item x="69"/>
        <item x="54"/>
        <item x="167"/>
        <item x="147"/>
        <item x="56"/>
        <item x="126"/>
        <item x="64"/>
        <item x="194"/>
        <item x="5"/>
        <item x="79"/>
        <item x="204"/>
        <item x="137"/>
        <item x="178"/>
        <item x="89"/>
        <item x="122"/>
        <item x="197"/>
        <item x="200"/>
        <item x="74"/>
        <item x="33"/>
        <item x="13"/>
        <item x="26"/>
        <item x="45"/>
        <item x="30"/>
        <item x="7"/>
        <item x="199"/>
        <item x="36"/>
        <item x="151"/>
        <item x="105"/>
        <item x="48"/>
        <item x="188"/>
        <item x="104"/>
        <item x="131"/>
        <item x="202"/>
        <item x="206"/>
        <item x="85"/>
        <item x="119"/>
        <item x="161"/>
        <item x="40"/>
        <item x="115"/>
        <item x="2"/>
        <item x="139"/>
        <item x="184"/>
        <item x="23"/>
        <item x="185"/>
        <item x="163"/>
        <item x="32"/>
        <item x="55"/>
        <item x="94"/>
        <item x="193"/>
        <item x="145"/>
        <item x="75"/>
        <item x="117"/>
        <item x="19"/>
        <item x="168"/>
        <item t="default"/>
      </items>
    </pivotField>
    <pivotField numFmtId="14" showAll="0"/>
    <pivotField showAll="0">
      <items count="5">
        <item x="2"/>
        <item x="1"/>
        <item x="3"/>
        <item x="0"/>
        <item t="default"/>
      </items>
    </pivotField>
    <pivotField showAll="0"/>
    <pivotField showAll="0">
      <items count="4">
        <item x="2"/>
        <item x="0"/>
        <item x="1"/>
        <item t="default"/>
      </items>
    </pivotField>
    <pivotField axis="axisRow" showAll="0">
      <items count="10">
        <item x="3"/>
        <item x="2"/>
        <item x="8"/>
        <item x="6"/>
        <item x="7"/>
        <item x="0"/>
        <item x="5"/>
        <item x="1"/>
        <item x="4"/>
        <item t="default"/>
      </items>
    </pivotField>
    <pivotField showAll="0">
      <items count="4">
        <item x="2"/>
        <item x="1"/>
        <item x="0"/>
        <item t="default"/>
      </items>
    </pivotField>
    <pivotField numFmtId="164" showAll="0"/>
    <pivotField numFmtId="1" showAll="0"/>
    <pivotField numFmtId="2" showAll="0"/>
    <pivotField dataField="1"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10">
    <i>
      <x/>
    </i>
    <i>
      <x v="1"/>
    </i>
    <i>
      <x v="2"/>
    </i>
    <i>
      <x v="3"/>
    </i>
    <i>
      <x v="4"/>
    </i>
    <i>
      <x v="5"/>
    </i>
    <i>
      <x v="6"/>
    </i>
    <i>
      <x v="7"/>
    </i>
    <i>
      <x v="8"/>
    </i>
    <i t="grand">
      <x/>
    </i>
  </rowItems>
  <colItems count="1">
    <i/>
  </colItems>
  <dataFields count="1">
    <dataField name="Sum of Profit" fld="11" baseField="6"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AD473E0-DEF4-4513-B278-BD2BC2AE93B0}" sourceName="Customer Segment">
  <pivotTables>
    <pivotTable tabId="5" name="PivotTable4"/>
    <pivotTable tabId="5" name="PivotTable10"/>
    <pivotTable tabId="5" name="PivotTable11"/>
    <pivotTable tabId="5" name="PivotTable12"/>
    <pivotTable tabId="5" name="PivotTable5"/>
    <pivotTable tabId="5" name="PivotTable6"/>
    <pivotTable tabId="5" name="PivotTable7"/>
    <pivotTable tabId="5" name="PivotTable8"/>
    <pivotTable tabId="5" name="PivotTable9"/>
    <pivotTable tabId="5" name="PivotTable13"/>
  </pivotTables>
  <data>
    <tabular pivotCacheId="13395301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764BC2-90B5-4DF1-BF94-EF4FE79C1D8C}" sourceName="Category">
  <pivotTables>
    <pivotTable tabId="5" name="PivotTable4"/>
    <pivotTable tabId="5" name="PivotTable10"/>
    <pivotTable tabId="5" name="PivotTable11"/>
    <pivotTable tabId="5" name="PivotTable12"/>
    <pivotTable tabId="5" name="PivotTable5"/>
    <pivotTable tabId="5" name="PivotTable6"/>
    <pivotTable tabId="5" name="PivotTable7"/>
    <pivotTable tabId="5" name="PivotTable8"/>
    <pivotTable tabId="5" name="PivotTable9"/>
    <pivotTable tabId="5" name="PivotTable13"/>
  </pivotTables>
  <data>
    <tabular pivotCacheId="13395301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F54A9F-2F4F-432B-8ACD-3C96DE1F555E}" sourceName="Region">
  <pivotTables>
    <pivotTable tabId="5" name="PivotTable4"/>
    <pivotTable tabId="5" name="PivotTable10"/>
    <pivotTable tabId="5" name="PivotTable11"/>
    <pivotTable tabId="5" name="PivotTable12"/>
    <pivotTable tabId="5" name="PivotTable5"/>
    <pivotTable tabId="5" name="PivotTable6"/>
    <pivotTable tabId="5" name="PivotTable7"/>
    <pivotTable tabId="5" name="PivotTable8"/>
    <pivotTable tabId="5" name="PivotTable9"/>
    <pivotTable tabId="5" name="PivotTable13"/>
  </pivotTables>
  <data>
    <tabular pivotCacheId="13395301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2A764DC2-4DF4-4F56-8928-68B04BAF1B0F}" cache="Slicer_Customer_Segment" caption="Customer Segment" style="SlicerStyleDark6 2" rowHeight="324000"/>
  <slicer name="Category" xr10:uid="{CFCB99A9-8372-46DC-8A0D-89816DB9C83A}" cache="Slicer_Category" caption="Category" style="SlicerStyleDark6 2" rowHeight="360000"/>
  <slicer name="Region" xr10:uid="{C0726F2D-3ED0-45ED-A4F4-1108DA5643FA}" cache="Slicer_Region" caption="Region" columnCount="2" style="SlicerStyleDark6 2"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43A22F-295F-4846-8A4F-DF77FE9D4A58}" name="Table1" displayName="Table1" ref="A1:L301" totalsRowShown="0">
  <autoFilter ref="A1:L301" xr:uid="{B143A22F-295F-4846-8A4F-DF77FE9D4A58}">
    <filterColumn colId="2">
      <filters>
        <dateGroupItem year="2023" dateTimeGrouping="year"/>
      </filters>
    </filterColumn>
  </autoFilter>
  <tableColumns count="12">
    <tableColumn id="1" xr3:uid="{759C0E7E-94BE-4DBC-83F9-640A14D44896}" name="Order ID" dataDxfId="15"/>
    <tableColumn id="2" xr3:uid="{18DEC049-0CA5-4A55-855F-7A4D36C0FF8D}" name="Order Date" dataDxfId="14"/>
    <tableColumn id="3" xr3:uid="{58063266-515B-4306-9563-C4977C7D3FCE}" name="Ship Date" dataDxfId="13"/>
    <tableColumn id="4" xr3:uid="{5CED899F-2557-421C-9335-56E624E35802}" name="Region" dataDxfId="12"/>
    <tableColumn id="5" xr3:uid="{5D7A6133-4F3F-4101-8797-CC53D359DFDD}" name="State" dataDxfId="11"/>
    <tableColumn id="6" xr3:uid="{98881791-83C8-4B0D-B106-93507720568E}" name="Category" dataDxfId="10"/>
    <tableColumn id="7" xr3:uid="{76197D1B-4AAB-47DA-9ACB-D679B5EEF39A}" name="Sub-Category" dataDxfId="9"/>
    <tableColumn id="8" xr3:uid="{88A5CA48-9845-4E48-B9D5-AE9F27EDA762}" name="Customer Segment" dataDxfId="8"/>
    <tableColumn id="9" xr3:uid="{AD1173A2-E98F-4CD0-9D93-3B5FBD7D7053}" name="Sales" dataDxfId="7"/>
    <tableColumn id="10" xr3:uid="{CFB02BEF-4C7F-4304-B56D-01E988F10055}" name="Quantity" dataDxfId="6"/>
    <tableColumn id="11" xr3:uid="{2D2E001F-A934-467D-AE88-D379956180DD}" name="Discount" dataDxfId="5"/>
    <tableColumn id="12" xr3:uid="{94403330-F2CE-4323-B1DD-AC25F485A686}" name="Profit"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288D-8BDC-4928-AB64-023080E8A285}">
  <dimension ref="A1"/>
  <sheetViews>
    <sheetView showGridLines="0" tabSelected="1" zoomScale="50" workbookViewId="0">
      <selection activeCell="AP31" sqref="AP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8A5FA-2926-40B6-B58C-628D62B7C730}">
  <dimension ref="A2:U30"/>
  <sheetViews>
    <sheetView topLeftCell="B1" zoomScale="61" zoomScaleNormal="71" workbookViewId="0">
      <selection activeCell="T10" sqref="T10"/>
    </sheetView>
  </sheetViews>
  <sheetFormatPr defaultRowHeight="15" x14ac:dyDescent="0.25"/>
  <cols>
    <col min="1" max="1" width="21.42578125" bestFit="1" customWidth="1"/>
    <col min="2" max="2" width="23.5703125" bestFit="1" customWidth="1"/>
    <col min="3" max="3" width="14.140625" bestFit="1" customWidth="1"/>
    <col min="4" max="4" width="17.28515625" bestFit="1" customWidth="1"/>
    <col min="5" max="5" width="16.28515625" bestFit="1" customWidth="1"/>
    <col min="7" max="7" width="19.28515625" bestFit="1" customWidth="1"/>
    <col min="8" max="8" width="18" bestFit="1" customWidth="1"/>
    <col min="9" max="9" width="18.42578125" bestFit="1" customWidth="1"/>
    <col min="10" max="10" width="12.140625" bestFit="1" customWidth="1"/>
    <col min="11" max="11" width="19.28515625" bestFit="1" customWidth="1"/>
    <col min="12" max="12" width="18.42578125" bestFit="1" customWidth="1"/>
    <col min="13" max="13" width="12.5703125" bestFit="1" customWidth="1"/>
    <col min="14" max="14" width="21.5703125" bestFit="1" customWidth="1"/>
    <col min="15" max="15" width="18" bestFit="1" customWidth="1"/>
    <col min="16" max="17" width="18.42578125" bestFit="1" customWidth="1"/>
    <col min="18" max="18" width="23.5703125" bestFit="1" customWidth="1"/>
    <col min="20" max="20" width="19.28515625" bestFit="1" customWidth="1"/>
    <col min="21" max="21" width="18" bestFit="1" customWidth="1"/>
  </cols>
  <sheetData>
    <row r="2" spans="1:21" x14ac:dyDescent="0.25">
      <c r="G2" s="10" t="s">
        <v>337</v>
      </c>
      <c r="H2" t="s">
        <v>339</v>
      </c>
      <c r="I2" t="s">
        <v>340</v>
      </c>
      <c r="K2" s="10" t="s">
        <v>337</v>
      </c>
      <c r="L2" t="s">
        <v>354</v>
      </c>
      <c r="N2" s="10" t="s">
        <v>337</v>
      </c>
      <c r="O2" t="s">
        <v>339</v>
      </c>
      <c r="Q2" t="s">
        <v>340</v>
      </c>
      <c r="T2" s="10" t="s">
        <v>337</v>
      </c>
      <c r="U2" t="s">
        <v>339</v>
      </c>
    </row>
    <row r="3" spans="1:21" x14ac:dyDescent="0.25">
      <c r="A3" s="10" t="s">
        <v>354</v>
      </c>
      <c r="B3" s="10" t="s">
        <v>353</v>
      </c>
      <c r="G3" s="11" t="s">
        <v>341</v>
      </c>
      <c r="H3" s="16">
        <v>12298.050000000001</v>
      </c>
      <c r="I3" s="16">
        <v>659.49000000000012</v>
      </c>
      <c r="K3" s="11" t="s">
        <v>40</v>
      </c>
      <c r="L3" s="9">
        <v>524</v>
      </c>
      <c r="N3" s="11" t="s">
        <v>341</v>
      </c>
      <c r="O3" s="16">
        <v>12298.050000000001</v>
      </c>
      <c r="Q3" s="14">
        <v>6687.9100000000008</v>
      </c>
      <c r="R3" s="14">
        <f>GETPIVOTDATA("Profit",$Q$2)</f>
        <v>6687.9100000000008</v>
      </c>
      <c r="T3" s="11" t="s">
        <v>27</v>
      </c>
      <c r="U3" s="16">
        <v>35449.520000000004</v>
      </c>
    </row>
    <row r="4" spans="1:21" x14ac:dyDescent="0.25">
      <c r="A4" s="10" t="s">
        <v>337</v>
      </c>
      <c r="B4" t="s">
        <v>40</v>
      </c>
      <c r="C4" t="s">
        <v>22</v>
      </c>
      <c r="D4" t="s">
        <v>17</v>
      </c>
      <c r="E4" t="s">
        <v>338</v>
      </c>
      <c r="G4" s="11" t="s">
        <v>342</v>
      </c>
      <c r="H4" s="16">
        <v>15875.040000000003</v>
      </c>
      <c r="I4" s="16">
        <v>291.11</v>
      </c>
      <c r="K4" s="11" t="s">
        <v>22</v>
      </c>
      <c r="L4" s="9">
        <v>553</v>
      </c>
      <c r="N4" s="11" t="s">
        <v>342</v>
      </c>
      <c r="O4" s="16">
        <v>15875.040000000003</v>
      </c>
      <c r="T4" s="11" t="s">
        <v>19</v>
      </c>
      <c r="U4" s="16">
        <v>40616.47</v>
      </c>
    </row>
    <row r="5" spans="1:21" x14ac:dyDescent="0.25">
      <c r="A5" s="11" t="s">
        <v>27</v>
      </c>
      <c r="B5" s="9">
        <v>146</v>
      </c>
      <c r="C5" s="9">
        <v>110</v>
      </c>
      <c r="D5" s="9">
        <v>132</v>
      </c>
      <c r="E5" s="9">
        <v>388</v>
      </c>
      <c r="G5" s="11" t="s">
        <v>343</v>
      </c>
      <c r="H5" s="16">
        <v>12650.87</v>
      </c>
      <c r="I5" s="16">
        <v>863.84999999999991</v>
      </c>
      <c r="K5" s="11" t="s">
        <v>17</v>
      </c>
      <c r="L5" s="9">
        <v>555</v>
      </c>
      <c r="N5" s="11" t="s">
        <v>343</v>
      </c>
      <c r="O5" s="16">
        <v>12650.87</v>
      </c>
      <c r="T5" s="11" t="s">
        <v>30</v>
      </c>
      <c r="U5" s="16">
        <v>38611.19000000001</v>
      </c>
    </row>
    <row r="6" spans="1:21" x14ac:dyDescent="0.25">
      <c r="A6" s="11" t="s">
        <v>19</v>
      </c>
      <c r="B6" s="9">
        <v>162</v>
      </c>
      <c r="C6" s="9">
        <v>133</v>
      </c>
      <c r="D6" s="9">
        <v>107</v>
      </c>
      <c r="E6" s="9">
        <v>402</v>
      </c>
      <c r="G6" s="11" t="s">
        <v>344</v>
      </c>
      <c r="H6" s="16">
        <v>10977.639999999998</v>
      </c>
      <c r="I6" s="16">
        <v>153.51000000000002</v>
      </c>
      <c r="K6" s="11" t="s">
        <v>338</v>
      </c>
      <c r="L6" s="9">
        <v>1632</v>
      </c>
      <c r="N6" s="11" t="s">
        <v>344</v>
      </c>
      <c r="O6" s="16">
        <v>10977.639999999998</v>
      </c>
      <c r="T6" s="11" t="s">
        <v>13</v>
      </c>
      <c r="U6" s="16">
        <v>40597.490000000005</v>
      </c>
    </row>
    <row r="7" spans="1:21" x14ac:dyDescent="0.25">
      <c r="A7" s="11" t="s">
        <v>30</v>
      </c>
      <c r="B7" s="9">
        <v>101</v>
      </c>
      <c r="C7" s="9">
        <v>116</v>
      </c>
      <c r="D7" s="9">
        <v>154</v>
      </c>
      <c r="E7" s="9">
        <v>371</v>
      </c>
      <c r="G7" s="11" t="s">
        <v>345</v>
      </c>
      <c r="H7" s="16">
        <v>11349.5</v>
      </c>
      <c r="I7" s="16">
        <v>296.92</v>
      </c>
      <c r="N7" s="11" t="s">
        <v>345</v>
      </c>
      <c r="O7" s="16">
        <v>11349.5</v>
      </c>
      <c r="T7" s="11" t="s">
        <v>338</v>
      </c>
      <c r="U7" s="16">
        <v>155274.67000000004</v>
      </c>
    </row>
    <row r="8" spans="1:21" x14ac:dyDescent="0.25">
      <c r="A8" s="11" t="s">
        <v>13</v>
      </c>
      <c r="B8" s="9">
        <v>115</v>
      </c>
      <c r="C8" s="9">
        <v>194</v>
      </c>
      <c r="D8" s="9">
        <v>162</v>
      </c>
      <c r="E8" s="9">
        <v>471</v>
      </c>
      <c r="G8" s="11" t="s">
        <v>346</v>
      </c>
      <c r="H8" s="16">
        <v>15537.800000000003</v>
      </c>
      <c r="I8" s="16">
        <v>1009.27</v>
      </c>
      <c r="N8" s="11" t="s">
        <v>346</v>
      </c>
      <c r="O8" s="16">
        <v>15537.800000000003</v>
      </c>
      <c r="Q8" t="s">
        <v>339</v>
      </c>
    </row>
    <row r="9" spans="1:21" x14ac:dyDescent="0.25">
      <c r="A9" s="11" t="s">
        <v>338</v>
      </c>
      <c r="B9" s="9">
        <v>524</v>
      </c>
      <c r="C9" s="9">
        <v>553</v>
      </c>
      <c r="D9" s="9">
        <v>555</v>
      </c>
      <c r="E9" s="9">
        <v>1632</v>
      </c>
      <c r="G9" s="11" t="s">
        <v>347</v>
      </c>
      <c r="H9" s="16">
        <v>18710.439999999999</v>
      </c>
      <c r="I9" s="16">
        <v>976.44</v>
      </c>
      <c r="N9" s="11" t="s">
        <v>347</v>
      </c>
      <c r="O9" s="16">
        <v>18710.439999999999</v>
      </c>
      <c r="Q9" s="14">
        <v>155274.67000000001</v>
      </c>
      <c r="R9" s="14">
        <f>GETPIVOTDATA("Sales",$Q$8)</f>
        <v>155274.67000000001</v>
      </c>
    </row>
    <row r="10" spans="1:21" x14ac:dyDescent="0.25">
      <c r="G10" s="11" t="s">
        <v>348</v>
      </c>
      <c r="H10" s="16">
        <v>12028.529999999999</v>
      </c>
      <c r="I10" s="16">
        <v>801.52999999999986</v>
      </c>
      <c r="N10" s="11" t="s">
        <v>348</v>
      </c>
      <c r="O10" s="16">
        <v>12028.529999999999</v>
      </c>
    </row>
    <row r="11" spans="1:21" x14ac:dyDescent="0.25">
      <c r="G11" s="11" t="s">
        <v>349</v>
      </c>
      <c r="H11" s="16">
        <v>9634.1400000000012</v>
      </c>
      <c r="I11" s="16">
        <v>443.28</v>
      </c>
      <c r="K11" s="10" t="s">
        <v>337</v>
      </c>
      <c r="L11" t="s">
        <v>340</v>
      </c>
      <c r="N11" s="11" t="s">
        <v>349</v>
      </c>
      <c r="O11" s="16">
        <v>9634.1400000000012</v>
      </c>
    </row>
    <row r="12" spans="1:21" x14ac:dyDescent="0.25">
      <c r="G12" s="11" t="s">
        <v>350</v>
      </c>
      <c r="H12" s="16">
        <v>9264.1</v>
      </c>
      <c r="I12" s="16">
        <v>519.53</v>
      </c>
      <c r="K12" s="11" t="s">
        <v>33</v>
      </c>
      <c r="L12" s="16">
        <v>287.08999999999997</v>
      </c>
      <c r="N12" s="11" t="s">
        <v>350</v>
      </c>
      <c r="O12" s="16">
        <v>9264.1</v>
      </c>
    </row>
    <row r="13" spans="1:21" x14ac:dyDescent="0.25">
      <c r="G13" s="11" t="s">
        <v>351</v>
      </c>
      <c r="H13" s="16">
        <v>14443.390000000003</v>
      </c>
      <c r="I13" s="16">
        <v>412.01</v>
      </c>
      <c r="K13" s="11" t="s">
        <v>25</v>
      </c>
      <c r="L13" s="16">
        <v>-89.219999999999956</v>
      </c>
      <c r="N13" s="11" t="s">
        <v>351</v>
      </c>
      <c r="O13" s="16">
        <v>14443.390000000003</v>
      </c>
    </row>
    <row r="14" spans="1:21" x14ac:dyDescent="0.25">
      <c r="G14" s="11" t="s">
        <v>352</v>
      </c>
      <c r="H14" s="16">
        <v>12505.17</v>
      </c>
      <c r="I14" s="16">
        <v>260.97000000000003</v>
      </c>
      <c r="K14" s="11" t="s">
        <v>62</v>
      </c>
      <c r="L14" s="16">
        <v>693.88999999999987</v>
      </c>
      <c r="N14" s="11" t="s">
        <v>352</v>
      </c>
      <c r="O14" s="16">
        <v>12505.17</v>
      </c>
      <c r="R14" t="s">
        <v>355</v>
      </c>
    </row>
    <row r="15" spans="1:21" x14ac:dyDescent="0.25">
      <c r="G15" s="11" t="s">
        <v>338</v>
      </c>
      <c r="H15" s="16">
        <v>155274.67000000004</v>
      </c>
      <c r="I15" s="16">
        <v>6687.91</v>
      </c>
      <c r="K15" s="11" t="s">
        <v>46</v>
      </c>
      <c r="L15" s="16">
        <v>990.75</v>
      </c>
      <c r="N15" s="11" t="s">
        <v>338</v>
      </c>
      <c r="O15" s="16">
        <v>155274.67000000004</v>
      </c>
      <c r="R15" s="17">
        <v>300</v>
      </c>
      <c r="S15">
        <f>GETPIVOTDATA("Order ID",$R$14)</f>
        <v>300</v>
      </c>
    </row>
    <row r="16" spans="1:21" x14ac:dyDescent="0.25">
      <c r="K16" s="11" t="s">
        <v>53</v>
      </c>
      <c r="L16" s="16">
        <v>1126.1200000000001</v>
      </c>
    </row>
    <row r="17" spans="11:16" x14ac:dyDescent="0.25">
      <c r="K17" s="11" t="s">
        <v>16</v>
      </c>
      <c r="L17" s="16">
        <v>443.47000000000008</v>
      </c>
      <c r="N17" s="10" t="s">
        <v>337</v>
      </c>
      <c r="O17" t="s">
        <v>339</v>
      </c>
      <c r="P17" t="s">
        <v>340</v>
      </c>
    </row>
    <row r="18" spans="11:16" x14ac:dyDescent="0.25">
      <c r="K18" s="11" t="s">
        <v>39</v>
      </c>
      <c r="L18" s="16">
        <v>1116.2800000000002</v>
      </c>
      <c r="N18" s="11" t="s">
        <v>35</v>
      </c>
      <c r="O18" s="16">
        <v>53388.979999999989</v>
      </c>
      <c r="P18" s="16">
        <v>2422.25</v>
      </c>
    </row>
    <row r="19" spans="11:16" x14ac:dyDescent="0.25">
      <c r="K19" s="11" t="s">
        <v>21</v>
      </c>
      <c r="L19" s="16">
        <v>1381.92</v>
      </c>
      <c r="N19" s="12" t="s">
        <v>62</v>
      </c>
      <c r="O19" s="16">
        <v>16243.409999999998</v>
      </c>
      <c r="P19" s="16">
        <v>693.88999999999987</v>
      </c>
    </row>
    <row r="20" spans="11:16" x14ac:dyDescent="0.25">
      <c r="K20" s="11" t="s">
        <v>36</v>
      </c>
      <c r="L20" s="16">
        <v>737.6099999999999</v>
      </c>
      <c r="N20" s="12" t="s">
        <v>46</v>
      </c>
      <c r="O20" s="16">
        <v>17660.900000000001</v>
      </c>
      <c r="P20" s="16">
        <v>990.75</v>
      </c>
    </row>
    <row r="21" spans="11:16" x14ac:dyDescent="0.25">
      <c r="K21" s="11" t="s">
        <v>338</v>
      </c>
      <c r="L21" s="16">
        <v>6687.9100000000008</v>
      </c>
      <c r="N21" s="12" t="s">
        <v>36</v>
      </c>
      <c r="O21" s="16">
        <v>19484.669999999991</v>
      </c>
      <c r="P21" s="16">
        <v>737.6099999999999</v>
      </c>
    </row>
    <row r="22" spans="11:16" x14ac:dyDescent="0.25">
      <c r="N22" s="11" t="s">
        <v>15</v>
      </c>
      <c r="O22" s="16">
        <v>52074.200000000012</v>
      </c>
      <c r="P22" s="16">
        <v>1736.17</v>
      </c>
    </row>
    <row r="23" spans="11:16" x14ac:dyDescent="0.25">
      <c r="N23" s="12" t="s">
        <v>25</v>
      </c>
      <c r="O23" s="16">
        <v>16992.72</v>
      </c>
      <c r="P23" s="16">
        <v>-89.219999999999956</v>
      </c>
    </row>
    <row r="24" spans="11:16" x14ac:dyDescent="0.25">
      <c r="N24" s="12" t="s">
        <v>16</v>
      </c>
      <c r="O24" s="16">
        <v>15825.350000000004</v>
      </c>
      <c r="P24" s="16">
        <v>443.47000000000008</v>
      </c>
    </row>
    <row r="25" spans="11:16" x14ac:dyDescent="0.25">
      <c r="N25" s="12" t="s">
        <v>21</v>
      </c>
      <c r="O25" s="16">
        <v>19256.13</v>
      </c>
      <c r="P25" s="16">
        <v>1381.92</v>
      </c>
    </row>
    <row r="26" spans="11:16" x14ac:dyDescent="0.25">
      <c r="N26" s="11" t="s">
        <v>32</v>
      </c>
      <c r="O26" s="16">
        <v>49811.490000000005</v>
      </c>
      <c r="P26" s="16">
        <v>2529.4900000000002</v>
      </c>
    </row>
    <row r="27" spans="11:16" x14ac:dyDescent="0.25">
      <c r="N27" s="12" t="s">
        <v>33</v>
      </c>
      <c r="O27" s="16">
        <v>12696.75</v>
      </c>
      <c r="P27" s="16">
        <v>287.08999999999997</v>
      </c>
    </row>
    <row r="28" spans="11:16" x14ac:dyDescent="0.25">
      <c r="N28" s="12" t="s">
        <v>53</v>
      </c>
      <c r="O28" s="16">
        <v>15299.21</v>
      </c>
      <c r="P28" s="16">
        <v>1126.1200000000001</v>
      </c>
    </row>
    <row r="29" spans="11:16" x14ac:dyDescent="0.25">
      <c r="N29" s="12" t="s">
        <v>39</v>
      </c>
      <c r="O29" s="16">
        <v>21815.530000000002</v>
      </c>
      <c r="P29" s="16">
        <v>1116.2800000000002</v>
      </c>
    </row>
    <row r="30" spans="11:16" x14ac:dyDescent="0.25">
      <c r="N30" s="11" t="s">
        <v>338</v>
      </c>
      <c r="O30" s="16">
        <v>155274.66999999998</v>
      </c>
      <c r="P30" s="16">
        <v>6687.91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workbookViewId="0">
      <selection activeCell="K2" sqref="K2"/>
    </sheetView>
  </sheetViews>
  <sheetFormatPr defaultRowHeight="15" x14ac:dyDescent="0.25"/>
  <cols>
    <col min="1" max="1" width="10.5703125" style="2" customWidth="1"/>
    <col min="2" max="2" width="12.85546875" style="4" customWidth="1"/>
    <col min="3" max="3" width="11.5703125" style="4" customWidth="1"/>
    <col min="4" max="4" width="9.28515625" style="2" customWidth="1"/>
    <col min="5" max="5" width="11.5703125" style="2" bestFit="1" customWidth="1"/>
    <col min="6" max="6" width="14.5703125" style="2" bestFit="1" customWidth="1"/>
    <col min="7" max="7" width="15" style="2" customWidth="1"/>
    <col min="8" max="8" width="20" style="2" customWidth="1"/>
    <col min="9" max="9" width="16" style="14" customWidth="1"/>
    <col min="10" max="10" width="10.85546875" style="9" customWidth="1"/>
    <col min="11" max="11" width="18.28515625" style="7" customWidth="1"/>
    <col min="12" max="12" width="16.28515625" style="15" customWidth="1"/>
  </cols>
  <sheetData>
    <row r="1" spans="1:12" x14ac:dyDescent="0.25">
      <c r="A1" s="1" t="s">
        <v>0</v>
      </c>
      <c r="B1" s="3" t="s">
        <v>1</v>
      </c>
      <c r="C1" s="3" t="s">
        <v>2</v>
      </c>
      <c r="D1" s="1" t="s">
        <v>3</v>
      </c>
      <c r="E1" s="1" t="s">
        <v>4</v>
      </c>
      <c r="F1" s="1" t="s">
        <v>5</v>
      </c>
      <c r="G1" s="1" t="s">
        <v>6</v>
      </c>
      <c r="H1" s="1" t="s">
        <v>7</v>
      </c>
      <c r="I1" s="13" t="s">
        <v>8</v>
      </c>
      <c r="J1" s="8" t="s">
        <v>9</v>
      </c>
      <c r="K1" s="6" t="s">
        <v>10</v>
      </c>
      <c r="L1" s="13" t="s">
        <v>11</v>
      </c>
    </row>
    <row r="2" spans="1:12" x14ac:dyDescent="0.25">
      <c r="A2" s="2" t="s">
        <v>12</v>
      </c>
      <c r="B2" s="4">
        <v>45130</v>
      </c>
      <c r="C2" s="4">
        <v>45136</v>
      </c>
      <c r="D2" s="2" t="s">
        <v>13</v>
      </c>
      <c r="E2" s="2" t="s">
        <v>14</v>
      </c>
      <c r="F2" s="2" t="s">
        <v>15</v>
      </c>
      <c r="G2" s="2" t="s">
        <v>16</v>
      </c>
      <c r="H2" s="2" t="s">
        <v>17</v>
      </c>
      <c r="I2" s="14">
        <v>522.99</v>
      </c>
      <c r="J2" s="9">
        <v>5</v>
      </c>
      <c r="K2" s="7">
        <v>0.15</v>
      </c>
      <c r="L2" s="15">
        <v>-71.63</v>
      </c>
    </row>
    <row r="3" spans="1:12" x14ac:dyDescent="0.25">
      <c r="A3" s="2" t="s">
        <v>18</v>
      </c>
      <c r="B3" s="4">
        <v>45068</v>
      </c>
      <c r="C3" s="4">
        <v>45075</v>
      </c>
      <c r="D3" s="2" t="s">
        <v>19</v>
      </c>
      <c r="E3" s="2" t="s">
        <v>20</v>
      </c>
      <c r="F3" s="2" t="s">
        <v>15</v>
      </c>
      <c r="G3" s="2" t="s">
        <v>21</v>
      </c>
      <c r="H3" s="2" t="s">
        <v>22</v>
      </c>
      <c r="I3" s="14">
        <v>436.02</v>
      </c>
      <c r="J3" s="9">
        <v>5</v>
      </c>
      <c r="K3" s="7">
        <v>0</v>
      </c>
      <c r="L3" s="15">
        <v>8.0299999999999994</v>
      </c>
    </row>
    <row r="4" spans="1:12" x14ac:dyDescent="0.25">
      <c r="A4" s="2" t="s">
        <v>23</v>
      </c>
      <c r="B4" s="4">
        <v>45271</v>
      </c>
      <c r="C4" s="4">
        <v>45275</v>
      </c>
      <c r="D4" s="2" t="s">
        <v>19</v>
      </c>
      <c r="E4" s="2" t="s">
        <v>24</v>
      </c>
      <c r="F4" s="2" t="s">
        <v>15</v>
      </c>
      <c r="G4" s="2" t="s">
        <v>25</v>
      </c>
      <c r="H4" s="2" t="s">
        <v>17</v>
      </c>
      <c r="I4" s="14">
        <v>776.92</v>
      </c>
      <c r="J4" s="9">
        <v>4</v>
      </c>
      <c r="K4" s="7">
        <v>0.3</v>
      </c>
      <c r="L4" s="15">
        <v>-19.600000000000001</v>
      </c>
    </row>
    <row r="5" spans="1:12" x14ac:dyDescent="0.25">
      <c r="A5" s="2" t="s">
        <v>26</v>
      </c>
      <c r="B5" s="4">
        <v>44948</v>
      </c>
      <c r="C5" s="4">
        <v>44949</v>
      </c>
      <c r="D5" s="2" t="s">
        <v>27</v>
      </c>
      <c r="E5" s="2" t="s">
        <v>28</v>
      </c>
      <c r="F5" s="2" t="s">
        <v>15</v>
      </c>
      <c r="G5" s="2" t="s">
        <v>25</v>
      </c>
      <c r="H5" s="2" t="s">
        <v>22</v>
      </c>
      <c r="I5" s="14">
        <v>522.23</v>
      </c>
      <c r="J5" s="9">
        <v>8</v>
      </c>
      <c r="K5" s="7">
        <v>0.3</v>
      </c>
      <c r="L5" s="15">
        <v>-2.9</v>
      </c>
    </row>
    <row r="6" spans="1:12" x14ac:dyDescent="0.25">
      <c r="A6" s="2" t="s">
        <v>29</v>
      </c>
      <c r="B6" s="4">
        <v>44961</v>
      </c>
      <c r="C6" s="4">
        <v>44963</v>
      </c>
      <c r="D6" s="2" t="s">
        <v>30</v>
      </c>
      <c r="E6" s="2" t="s">
        <v>20</v>
      </c>
      <c r="F6" s="2" t="s">
        <v>15</v>
      </c>
      <c r="G6" s="2" t="s">
        <v>21</v>
      </c>
      <c r="H6" s="2" t="s">
        <v>22</v>
      </c>
      <c r="I6" s="14">
        <v>822.93</v>
      </c>
      <c r="J6" s="9">
        <v>4</v>
      </c>
      <c r="K6" s="7">
        <v>0</v>
      </c>
      <c r="L6" s="15">
        <v>191.06</v>
      </c>
    </row>
    <row r="7" spans="1:12" x14ac:dyDescent="0.25">
      <c r="A7" s="2" t="s">
        <v>31</v>
      </c>
      <c r="B7" s="4">
        <v>45215</v>
      </c>
      <c r="C7" s="4">
        <v>45216</v>
      </c>
      <c r="D7" s="2" t="s">
        <v>19</v>
      </c>
      <c r="E7" s="2" t="s">
        <v>28</v>
      </c>
      <c r="F7" s="2" t="s">
        <v>32</v>
      </c>
      <c r="G7" s="2" t="s">
        <v>33</v>
      </c>
      <c r="H7" s="2" t="s">
        <v>22</v>
      </c>
      <c r="I7" s="14">
        <v>579.34</v>
      </c>
      <c r="J7" s="9">
        <v>2</v>
      </c>
      <c r="K7" s="7">
        <v>0</v>
      </c>
      <c r="L7" s="15">
        <v>-97.55</v>
      </c>
    </row>
    <row r="8" spans="1:12" x14ac:dyDescent="0.25">
      <c r="A8" s="2" t="s">
        <v>34</v>
      </c>
      <c r="B8" s="4">
        <v>45136</v>
      </c>
      <c r="C8" s="4">
        <v>45138</v>
      </c>
      <c r="D8" s="2" t="s">
        <v>13</v>
      </c>
      <c r="E8" s="2" t="s">
        <v>20</v>
      </c>
      <c r="F8" s="2" t="s">
        <v>35</v>
      </c>
      <c r="G8" s="2" t="s">
        <v>36</v>
      </c>
      <c r="H8" s="2" t="s">
        <v>22</v>
      </c>
      <c r="I8" s="14">
        <v>516.23</v>
      </c>
      <c r="J8" s="9">
        <v>8</v>
      </c>
      <c r="K8" s="7">
        <v>0.2</v>
      </c>
      <c r="L8" s="15">
        <v>35.19</v>
      </c>
    </row>
    <row r="9" spans="1:12" x14ac:dyDescent="0.25">
      <c r="A9" s="2" t="s">
        <v>37</v>
      </c>
      <c r="B9" s="4">
        <v>45246</v>
      </c>
      <c r="C9" s="4">
        <v>45251</v>
      </c>
      <c r="D9" s="2" t="s">
        <v>13</v>
      </c>
      <c r="E9" s="2" t="s">
        <v>28</v>
      </c>
      <c r="F9" s="2" t="s">
        <v>15</v>
      </c>
      <c r="G9" s="2" t="s">
        <v>25</v>
      </c>
      <c r="H9" s="2" t="s">
        <v>17</v>
      </c>
      <c r="I9" s="14">
        <v>296.33</v>
      </c>
      <c r="J9" s="9">
        <v>3</v>
      </c>
      <c r="K9" s="7">
        <v>0.1</v>
      </c>
      <c r="L9" s="15">
        <v>-22.91</v>
      </c>
    </row>
    <row r="10" spans="1:12" x14ac:dyDescent="0.25">
      <c r="A10" s="2" t="s">
        <v>38</v>
      </c>
      <c r="B10" s="4">
        <v>45173</v>
      </c>
      <c r="C10" s="4">
        <v>45178</v>
      </c>
      <c r="D10" s="2" t="s">
        <v>19</v>
      </c>
      <c r="E10" s="2" t="s">
        <v>24</v>
      </c>
      <c r="F10" s="2" t="s">
        <v>32</v>
      </c>
      <c r="G10" s="2" t="s">
        <v>39</v>
      </c>
      <c r="H10" s="2" t="s">
        <v>40</v>
      </c>
      <c r="I10" s="14">
        <v>699.94</v>
      </c>
      <c r="J10" s="9">
        <v>5</v>
      </c>
      <c r="K10" s="7">
        <v>0.2</v>
      </c>
      <c r="L10" s="15">
        <v>155.93</v>
      </c>
    </row>
    <row r="11" spans="1:12" x14ac:dyDescent="0.25">
      <c r="A11" s="2" t="s">
        <v>41</v>
      </c>
      <c r="B11" s="4">
        <v>44953</v>
      </c>
      <c r="C11" s="4">
        <v>44955</v>
      </c>
      <c r="D11" s="2" t="s">
        <v>19</v>
      </c>
      <c r="E11" s="2" t="s">
        <v>28</v>
      </c>
      <c r="F11" s="2" t="s">
        <v>15</v>
      </c>
      <c r="G11" s="2" t="s">
        <v>16</v>
      </c>
      <c r="H11" s="2" t="s">
        <v>40</v>
      </c>
      <c r="I11" s="14">
        <v>433.95</v>
      </c>
      <c r="J11" s="9">
        <v>3</v>
      </c>
      <c r="K11" s="7">
        <v>0</v>
      </c>
      <c r="L11" s="15">
        <v>20.07</v>
      </c>
    </row>
    <row r="12" spans="1:12" x14ac:dyDescent="0.25">
      <c r="A12" s="2" t="s">
        <v>42</v>
      </c>
      <c r="B12" s="4">
        <v>45068</v>
      </c>
      <c r="C12" s="4">
        <v>45070</v>
      </c>
      <c r="D12" s="2" t="s">
        <v>30</v>
      </c>
      <c r="E12" s="2" t="s">
        <v>43</v>
      </c>
      <c r="F12" s="2" t="s">
        <v>15</v>
      </c>
      <c r="G12" s="2" t="s">
        <v>16</v>
      </c>
      <c r="H12" s="2" t="s">
        <v>40</v>
      </c>
      <c r="I12" s="14">
        <v>907.54</v>
      </c>
      <c r="J12" s="9">
        <v>1</v>
      </c>
      <c r="K12" s="7">
        <v>0.2</v>
      </c>
      <c r="L12" s="15">
        <v>-54.19</v>
      </c>
    </row>
    <row r="13" spans="1:12" x14ac:dyDescent="0.25">
      <c r="A13" s="2" t="s">
        <v>44</v>
      </c>
      <c r="B13" s="4">
        <v>45069</v>
      </c>
      <c r="C13" s="4">
        <v>45070</v>
      </c>
      <c r="D13" s="2" t="s">
        <v>27</v>
      </c>
      <c r="E13" s="2" t="s">
        <v>14</v>
      </c>
      <c r="F13" s="2" t="s">
        <v>15</v>
      </c>
      <c r="G13" s="2" t="s">
        <v>16</v>
      </c>
      <c r="H13" s="2" t="s">
        <v>22</v>
      </c>
      <c r="I13" s="14">
        <v>994.08</v>
      </c>
      <c r="J13" s="9">
        <v>8</v>
      </c>
      <c r="K13" s="7">
        <v>0</v>
      </c>
      <c r="L13" s="15">
        <v>54.6</v>
      </c>
    </row>
    <row r="14" spans="1:12" x14ac:dyDescent="0.25">
      <c r="A14" s="2" t="s">
        <v>45</v>
      </c>
      <c r="B14" s="4">
        <v>45108</v>
      </c>
      <c r="C14" s="4">
        <v>45110</v>
      </c>
      <c r="D14" s="2" t="s">
        <v>30</v>
      </c>
      <c r="E14" s="2" t="s">
        <v>43</v>
      </c>
      <c r="F14" s="2" t="s">
        <v>35</v>
      </c>
      <c r="G14" s="2" t="s">
        <v>46</v>
      </c>
      <c r="H14" s="2" t="s">
        <v>22</v>
      </c>
      <c r="I14" s="14">
        <v>917.36</v>
      </c>
      <c r="J14" s="9">
        <v>5</v>
      </c>
      <c r="K14" s="7">
        <v>0.15</v>
      </c>
      <c r="L14" s="15">
        <v>-96.72</v>
      </c>
    </row>
    <row r="15" spans="1:12" x14ac:dyDescent="0.25">
      <c r="A15" s="2" t="s">
        <v>47</v>
      </c>
      <c r="B15" s="4">
        <v>45173</v>
      </c>
      <c r="C15" s="4">
        <v>45176</v>
      </c>
      <c r="D15" s="2" t="s">
        <v>30</v>
      </c>
      <c r="E15" s="2" t="s">
        <v>43</v>
      </c>
      <c r="F15" s="2" t="s">
        <v>35</v>
      </c>
      <c r="G15" s="2" t="s">
        <v>36</v>
      </c>
      <c r="H15" s="2" t="s">
        <v>22</v>
      </c>
      <c r="I15" s="14">
        <v>199.39</v>
      </c>
      <c r="J15" s="9">
        <v>7</v>
      </c>
      <c r="K15" s="7">
        <v>0</v>
      </c>
      <c r="L15" s="15">
        <v>-36.36</v>
      </c>
    </row>
    <row r="16" spans="1:12" x14ac:dyDescent="0.25">
      <c r="A16" s="2" t="s">
        <v>48</v>
      </c>
      <c r="B16" s="4">
        <v>45052</v>
      </c>
      <c r="C16" s="4">
        <v>45053</v>
      </c>
      <c r="D16" s="2" t="s">
        <v>19</v>
      </c>
      <c r="E16" s="2" t="s">
        <v>49</v>
      </c>
      <c r="F16" s="2" t="s">
        <v>35</v>
      </c>
      <c r="G16" s="2" t="s">
        <v>36</v>
      </c>
      <c r="H16" s="2" t="s">
        <v>17</v>
      </c>
      <c r="I16" s="14">
        <v>38.229999999999997</v>
      </c>
      <c r="J16" s="9">
        <v>3</v>
      </c>
      <c r="K16" s="7">
        <v>0.3</v>
      </c>
      <c r="L16" s="15">
        <v>-2.91</v>
      </c>
    </row>
    <row r="17" spans="1:12" x14ac:dyDescent="0.25">
      <c r="A17" s="2" t="s">
        <v>50</v>
      </c>
      <c r="B17" s="4">
        <v>45240</v>
      </c>
      <c r="C17" s="4">
        <v>45243</v>
      </c>
      <c r="D17" s="2" t="s">
        <v>13</v>
      </c>
      <c r="E17" s="2" t="s">
        <v>20</v>
      </c>
      <c r="F17" s="2" t="s">
        <v>32</v>
      </c>
      <c r="G17" s="2" t="s">
        <v>39</v>
      </c>
      <c r="H17" s="2" t="s">
        <v>22</v>
      </c>
      <c r="I17" s="14">
        <v>922.22</v>
      </c>
      <c r="J17" s="9">
        <v>9</v>
      </c>
      <c r="K17" s="7">
        <v>0.1</v>
      </c>
      <c r="L17" s="15">
        <v>-157.35</v>
      </c>
    </row>
    <row r="18" spans="1:12" x14ac:dyDescent="0.25">
      <c r="A18" s="2" t="s">
        <v>51</v>
      </c>
      <c r="B18" s="4">
        <v>45017</v>
      </c>
      <c r="C18" s="4">
        <v>45020</v>
      </c>
      <c r="D18" s="2" t="s">
        <v>13</v>
      </c>
      <c r="E18" s="2" t="s">
        <v>20</v>
      </c>
      <c r="F18" s="2" t="s">
        <v>15</v>
      </c>
      <c r="G18" s="2" t="s">
        <v>21</v>
      </c>
      <c r="H18" s="2" t="s">
        <v>22</v>
      </c>
      <c r="I18" s="14">
        <v>352.91</v>
      </c>
      <c r="J18" s="9">
        <v>6</v>
      </c>
      <c r="K18" s="7">
        <v>0.15</v>
      </c>
      <c r="L18" s="15">
        <v>79.14</v>
      </c>
    </row>
    <row r="19" spans="1:12" x14ac:dyDescent="0.25">
      <c r="A19" s="2" t="s">
        <v>52</v>
      </c>
      <c r="B19" s="4">
        <v>44974</v>
      </c>
      <c r="C19" s="4">
        <v>44978</v>
      </c>
      <c r="D19" s="2" t="s">
        <v>19</v>
      </c>
      <c r="E19" s="2" t="s">
        <v>20</v>
      </c>
      <c r="F19" s="2" t="s">
        <v>32</v>
      </c>
      <c r="G19" s="2" t="s">
        <v>53</v>
      </c>
      <c r="H19" s="2" t="s">
        <v>17</v>
      </c>
      <c r="I19" s="14">
        <v>952.34</v>
      </c>
      <c r="J19" s="9">
        <v>4</v>
      </c>
      <c r="K19" s="7">
        <v>0</v>
      </c>
      <c r="L19" s="15">
        <v>75.77</v>
      </c>
    </row>
    <row r="20" spans="1:12" x14ac:dyDescent="0.25">
      <c r="A20" s="2" t="s">
        <v>54</v>
      </c>
      <c r="B20" s="4">
        <v>45045</v>
      </c>
      <c r="C20" s="4">
        <v>45051</v>
      </c>
      <c r="D20" s="2" t="s">
        <v>13</v>
      </c>
      <c r="E20" s="2" t="s">
        <v>20</v>
      </c>
      <c r="F20" s="2" t="s">
        <v>15</v>
      </c>
      <c r="G20" s="2" t="s">
        <v>25</v>
      </c>
      <c r="H20" s="2" t="s">
        <v>22</v>
      </c>
      <c r="I20" s="14">
        <v>863.13</v>
      </c>
      <c r="J20" s="9">
        <v>4</v>
      </c>
      <c r="K20" s="7">
        <v>0</v>
      </c>
      <c r="L20" s="15">
        <v>-91.53</v>
      </c>
    </row>
    <row r="21" spans="1:12" x14ac:dyDescent="0.25">
      <c r="A21" s="2" t="s">
        <v>55</v>
      </c>
      <c r="B21" s="4">
        <v>45173</v>
      </c>
      <c r="C21" s="4">
        <v>45175</v>
      </c>
      <c r="D21" s="2" t="s">
        <v>13</v>
      </c>
      <c r="E21" s="2" t="s">
        <v>43</v>
      </c>
      <c r="F21" s="2" t="s">
        <v>35</v>
      </c>
      <c r="G21" s="2" t="s">
        <v>36</v>
      </c>
      <c r="H21" s="2" t="s">
        <v>17</v>
      </c>
      <c r="I21" s="14">
        <v>58.45</v>
      </c>
      <c r="J21" s="9">
        <v>4</v>
      </c>
      <c r="K21" s="7">
        <v>0.15</v>
      </c>
      <c r="L21" s="15">
        <v>1.71</v>
      </c>
    </row>
    <row r="22" spans="1:12" x14ac:dyDescent="0.25">
      <c r="A22" s="2" t="s">
        <v>56</v>
      </c>
      <c r="B22" s="4">
        <v>45121</v>
      </c>
      <c r="C22" s="4">
        <v>45125</v>
      </c>
      <c r="D22" s="2" t="s">
        <v>27</v>
      </c>
      <c r="E22" s="2" t="s">
        <v>20</v>
      </c>
      <c r="F22" s="2" t="s">
        <v>32</v>
      </c>
      <c r="G22" s="2" t="s">
        <v>39</v>
      </c>
      <c r="H22" s="2" t="s">
        <v>40</v>
      </c>
      <c r="I22" s="14">
        <v>477.89</v>
      </c>
      <c r="J22" s="9">
        <v>5</v>
      </c>
      <c r="K22" s="7">
        <v>0.3</v>
      </c>
      <c r="L22" s="15">
        <v>-20.71</v>
      </c>
    </row>
    <row r="23" spans="1:12" x14ac:dyDescent="0.25">
      <c r="A23" s="2" t="s">
        <v>57</v>
      </c>
      <c r="B23" s="4">
        <v>45142</v>
      </c>
      <c r="C23" s="4">
        <v>45144</v>
      </c>
      <c r="D23" s="2" t="s">
        <v>13</v>
      </c>
      <c r="E23" s="2" t="s">
        <v>20</v>
      </c>
      <c r="F23" s="2" t="s">
        <v>32</v>
      </c>
      <c r="G23" s="2" t="s">
        <v>53</v>
      </c>
      <c r="H23" s="2" t="s">
        <v>17</v>
      </c>
      <c r="I23" s="14">
        <v>277.43</v>
      </c>
      <c r="J23" s="9">
        <v>4</v>
      </c>
      <c r="K23" s="7">
        <v>0.2</v>
      </c>
      <c r="L23" s="15">
        <v>1.65</v>
      </c>
    </row>
    <row r="24" spans="1:12" hidden="1" x14ac:dyDescent="0.25">
      <c r="A24" s="2" t="s">
        <v>58</v>
      </c>
      <c r="B24" s="4">
        <v>45291</v>
      </c>
      <c r="C24" s="4">
        <v>45297</v>
      </c>
      <c r="D24" s="2" t="s">
        <v>27</v>
      </c>
      <c r="E24" s="2" t="s">
        <v>28</v>
      </c>
      <c r="F24" s="2" t="s">
        <v>15</v>
      </c>
      <c r="G24" s="2" t="s">
        <v>16</v>
      </c>
      <c r="H24" s="2" t="s">
        <v>22</v>
      </c>
      <c r="I24" s="5">
        <v>727.36</v>
      </c>
      <c r="J24" s="9">
        <v>8</v>
      </c>
      <c r="K24" s="7">
        <v>0</v>
      </c>
      <c r="L24" s="7">
        <v>193.61</v>
      </c>
    </row>
    <row r="25" spans="1:12" x14ac:dyDescent="0.25">
      <c r="A25" s="2" t="s">
        <v>59</v>
      </c>
      <c r="B25" s="4">
        <v>45201</v>
      </c>
      <c r="C25" s="4">
        <v>45207</v>
      </c>
      <c r="D25" s="2" t="s">
        <v>27</v>
      </c>
      <c r="E25" s="2" t="s">
        <v>24</v>
      </c>
      <c r="F25" s="2" t="s">
        <v>15</v>
      </c>
      <c r="G25" s="2" t="s">
        <v>21</v>
      </c>
      <c r="H25" s="2" t="s">
        <v>17</v>
      </c>
      <c r="I25" s="14">
        <v>73.930000000000007</v>
      </c>
      <c r="J25" s="9">
        <v>4</v>
      </c>
      <c r="K25" s="7">
        <v>0</v>
      </c>
      <c r="L25" s="15">
        <v>15.08</v>
      </c>
    </row>
    <row r="26" spans="1:12" x14ac:dyDescent="0.25">
      <c r="A26" s="2" t="s">
        <v>60</v>
      </c>
      <c r="B26" s="4">
        <v>45097</v>
      </c>
      <c r="C26" s="4">
        <v>45101</v>
      </c>
      <c r="D26" s="2" t="s">
        <v>27</v>
      </c>
      <c r="E26" s="2" t="s">
        <v>24</v>
      </c>
      <c r="F26" s="2" t="s">
        <v>32</v>
      </c>
      <c r="G26" s="2" t="s">
        <v>39</v>
      </c>
      <c r="H26" s="2" t="s">
        <v>17</v>
      </c>
      <c r="I26" s="14">
        <v>428.22</v>
      </c>
      <c r="J26" s="9">
        <v>8</v>
      </c>
      <c r="K26" s="7">
        <v>0.2</v>
      </c>
      <c r="L26" s="15">
        <v>73.040000000000006</v>
      </c>
    </row>
    <row r="27" spans="1:12" x14ac:dyDescent="0.25">
      <c r="A27" s="2" t="s">
        <v>61</v>
      </c>
      <c r="B27" s="4">
        <v>45156</v>
      </c>
      <c r="C27" s="4">
        <v>45163</v>
      </c>
      <c r="D27" s="2" t="s">
        <v>27</v>
      </c>
      <c r="E27" s="2" t="s">
        <v>24</v>
      </c>
      <c r="F27" s="2" t="s">
        <v>35</v>
      </c>
      <c r="G27" s="2" t="s">
        <v>62</v>
      </c>
      <c r="H27" s="2" t="s">
        <v>40</v>
      </c>
      <c r="I27" s="14">
        <v>633.32000000000005</v>
      </c>
      <c r="J27" s="9">
        <v>4</v>
      </c>
      <c r="K27" s="7">
        <v>0</v>
      </c>
      <c r="L27" s="15">
        <v>69.930000000000007</v>
      </c>
    </row>
    <row r="28" spans="1:12" x14ac:dyDescent="0.25">
      <c r="A28" s="2" t="s">
        <v>63</v>
      </c>
      <c r="B28" s="4">
        <v>45274</v>
      </c>
      <c r="C28" s="4">
        <v>45279</v>
      </c>
      <c r="D28" s="2" t="s">
        <v>27</v>
      </c>
      <c r="E28" s="2" t="s">
        <v>24</v>
      </c>
      <c r="F28" s="2" t="s">
        <v>32</v>
      </c>
      <c r="G28" s="2" t="s">
        <v>53</v>
      </c>
      <c r="H28" s="2" t="s">
        <v>40</v>
      </c>
      <c r="I28" s="14">
        <v>155.51</v>
      </c>
      <c r="J28" s="9">
        <v>4</v>
      </c>
      <c r="K28" s="7">
        <v>0.3</v>
      </c>
      <c r="L28" s="15">
        <v>-1.3</v>
      </c>
    </row>
    <row r="29" spans="1:12" x14ac:dyDescent="0.25">
      <c r="A29" s="2" t="s">
        <v>64</v>
      </c>
      <c r="B29" s="4">
        <v>44968</v>
      </c>
      <c r="C29" s="4">
        <v>44970</v>
      </c>
      <c r="D29" s="2" t="s">
        <v>27</v>
      </c>
      <c r="E29" s="2" t="s">
        <v>49</v>
      </c>
      <c r="F29" s="2" t="s">
        <v>32</v>
      </c>
      <c r="G29" s="2" t="s">
        <v>39</v>
      </c>
      <c r="H29" s="2" t="s">
        <v>17</v>
      </c>
      <c r="I29" s="14">
        <v>453.45</v>
      </c>
      <c r="J29" s="9">
        <v>2</v>
      </c>
      <c r="K29" s="7">
        <v>0.2</v>
      </c>
      <c r="L29" s="15">
        <v>95.5</v>
      </c>
    </row>
    <row r="30" spans="1:12" x14ac:dyDescent="0.25">
      <c r="A30" s="2" t="s">
        <v>65</v>
      </c>
      <c r="B30" s="4">
        <v>45066</v>
      </c>
      <c r="C30" s="4">
        <v>45069</v>
      </c>
      <c r="D30" s="2" t="s">
        <v>19</v>
      </c>
      <c r="E30" s="2" t="s">
        <v>28</v>
      </c>
      <c r="F30" s="2" t="s">
        <v>15</v>
      </c>
      <c r="G30" s="2" t="s">
        <v>21</v>
      </c>
      <c r="H30" s="2" t="s">
        <v>40</v>
      </c>
      <c r="I30" s="14">
        <v>113.34</v>
      </c>
      <c r="J30" s="9">
        <v>5</v>
      </c>
      <c r="K30" s="7">
        <v>0</v>
      </c>
      <c r="L30" s="15">
        <v>-16.43</v>
      </c>
    </row>
    <row r="31" spans="1:12" x14ac:dyDescent="0.25">
      <c r="A31" s="2" t="s">
        <v>66</v>
      </c>
      <c r="B31" s="4">
        <v>45241</v>
      </c>
      <c r="C31" s="4">
        <v>45243</v>
      </c>
      <c r="D31" s="2" t="s">
        <v>19</v>
      </c>
      <c r="E31" s="2" t="s">
        <v>43</v>
      </c>
      <c r="F31" s="2" t="s">
        <v>35</v>
      </c>
      <c r="G31" s="2" t="s">
        <v>46</v>
      </c>
      <c r="H31" s="2" t="s">
        <v>40</v>
      </c>
      <c r="I31" s="14">
        <v>74.900000000000006</v>
      </c>
      <c r="J31" s="9">
        <v>10</v>
      </c>
      <c r="K31" s="7">
        <v>0.3</v>
      </c>
      <c r="L31" s="15">
        <v>1.01</v>
      </c>
    </row>
    <row r="32" spans="1:12" x14ac:dyDescent="0.25">
      <c r="A32" s="2" t="s">
        <v>67</v>
      </c>
      <c r="B32" s="4">
        <v>45070</v>
      </c>
      <c r="C32" s="4">
        <v>45074</v>
      </c>
      <c r="D32" s="2" t="s">
        <v>13</v>
      </c>
      <c r="E32" s="2" t="s">
        <v>24</v>
      </c>
      <c r="F32" s="2" t="s">
        <v>15</v>
      </c>
      <c r="G32" s="2" t="s">
        <v>21</v>
      </c>
      <c r="H32" s="2" t="s">
        <v>40</v>
      </c>
      <c r="I32" s="14">
        <v>386.29</v>
      </c>
      <c r="J32" s="9">
        <v>6</v>
      </c>
      <c r="K32" s="7">
        <v>0</v>
      </c>
      <c r="L32" s="15">
        <v>37.47</v>
      </c>
    </row>
    <row r="33" spans="1:12" x14ac:dyDescent="0.25">
      <c r="A33" s="2" t="s">
        <v>68</v>
      </c>
      <c r="B33" s="4">
        <v>45053</v>
      </c>
      <c r="C33" s="4">
        <v>45060</v>
      </c>
      <c r="D33" s="2" t="s">
        <v>13</v>
      </c>
      <c r="E33" s="2" t="s">
        <v>14</v>
      </c>
      <c r="F33" s="2" t="s">
        <v>35</v>
      </c>
      <c r="G33" s="2" t="s">
        <v>46</v>
      </c>
      <c r="H33" s="2" t="s">
        <v>40</v>
      </c>
      <c r="I33" s="14">
        <v>264.14</v>
      </c>
      <c r="J33" s="9">
        <v>1</v>
      </c>
      <c r="K33" s="7">
        <v>0.1</v>
      </c>
      <c r="L33" s="15">
        <v>-32.729999999999997</v>
      </c>
    </row>
    <row r="34" spans="1:12" x14ac:dyDescent="0.25">
      <c r="A34" s="2" t="s">
        <v>69</v>
      </c>
      <c r="B34" s="4">
        <v>45092</v>
      </c>
      <c r="C34" s="4">
        <v>45093</v>
      </c>
      <c r="D34" s="2" t="s">
        <v>27</v>
      </c>
      <c r="E34" s="2" t="s">
        <v>20</v>
      </c>
      <c r="F34" s="2" t="s">
        <v>35</v>
      </c>
      <c r="G34" s="2" t="s">
        <v>36</v>
      </c>
      <c r="H34" s="2" t="s">
        <v>22</v>
      </c>
      <c r="I34" s="14">
        <v>303.83</v>
      </c>
      <c r="J34" s="9">
        <v>8</v>
      </c>
      <c r="K34" s="7">
        <v>0.2</v>
      </c>
      <c r="L34" s="15">
        <v>17.809999999999999</v>
      </c>
    </row>
    <row r="35" spans="1:12" x14ac:dyDescent="0.25">
      <c r="A35" s="2" t="s">
        <v>70</v>
      </c>
      <c r="B35" s="4">
        <v>45245</v>
      </c>
      <c r="C35" s="4">
        <v>45250</v>
      </c>
      <c r="D35" s="2" t="s">
        <v>19</v>
      </c>
      <c r="E35" s="2" t="s">
        <v>49</v>
      </c>
      <c r="F35" s="2" t="s">
        <v>15</v>
      </c>
      <c r="G35" s="2" t="s">
        <v>25</v>
      </c>
      <c r="H35" s="2" t="s">
        <v>40</v>
      </c>
      <c r="I35" s="14">
        <v>993.67</v>
      </c>
      <c r="J35" s="9">
        <v>5</v>
      </c>
      <c r="K35" s="7">
        <v>0.3</v>
      </c>
      <c r="L35" s="15">
        <v>-101.17</v>
      </c>
    </row>
    <row r="36" spans="1:12" x14ac:dyDescent="0.25">
      <c r="A36" s="2" t="s">
        <v>71</v>
      </c>
      <c r="B36" s="4">
        <v>45046</v>
      </c>
      <c r="C36" s="4">
        <v>45052</v>
      </c>
      <c r="D36" s="2" t="s">
        <v>13</v>
      </c>
      <c r="E36" s="2" t="s">
        <v>49</v>
      </c>
      <c r="F36" s="2" t="s">
        <v>35</v>
      </c>
      <c r="G36" s="2" t="s">
        <v>36</v>
      </c>
      <c r="H36" s="2" t="s">
        <v>17</v>
      </c>
      <c r="I36" s="14">
        <v>270.93</v>
      </c>
      <c r="J36" s="9">
        <v>10</v>
      </c>
      <c r="K36" s="7">
        <v>0.1</v>
      </c>
      <c r="L36" s="15">
        <v>-11.94</v>
      </c>
    </row>
    <row r="37" spans="1:12" x14ac:dyDescent="0.25">
      <c r="A37" s="2" t="s">
        <v>72</v>
      </c>
      <c r="B37" s="4">
        <v>45278</v>
      </c>
      <c r="C37" s="4">
        <v>45283</v>
      </c>
      <c r="D37" s="2" t="s">
        <v>30</v>
      </c>
      <c r="E37" s="2" t="s">
        <v>20</v>
      </c>
      <c r="F37" s="2" t="s">
        <v>15</v>
      </c>
      <c r="G37" s="2" t="s">
        <v>25</v>
      </c>
      <c r="H37" s="2" t="s">
        <v>22</v>
      </c>
      <c r="I37" s="14">
        <v>857.77</v>
      </c>
      <c r="J37" s="9">
        <v>2</v>
      </c>
      <c r="K37" s="7">
        <v>0.1</v>
      </c>
      <c r="L37" s="15">
        <v>-81.010000000000005</v>
      </c>
    </row>
    <row r="38" spans="1:12" x14ac:dyDescent="0.25">
      <c r="A38" s="2" t="s">
        <v>73</v>
      </c>
      <c r="B38" s="4">
        <v>45234</v>
      </c>
      <c r="C38" s="4">
        <v>45235</v>
      </c>
      <c r="D38" s="2" t="s">
        <v>27</v>
      </c>
      <c r="E38" s="2" t="s">
        <v>20</v>
      </c>
      <c r="F38" s="2" t="s">
        <v>35</v>
      </c>
      <c r="G38" s="2" t="s">
        <v>46</v>
      </c>
      <c r="H38" s="2" t="s">
        <v>17</v>
      </c>
      <c r="I38" s="14">
        <v>195.19</v>
      </c>
      <c r="J38" s="9">
        <v>10</v>
      </c>
      <c r="K38" s="7">
        <v>0.15</v>
      </c>
      <c r="L38" s="15">
        <v>-14.27</v>
      </c>
    </row>
    <row r="39" spans="1:12" x14ac:dyDescent="0.25">
      <c r="A39" s="2" t="s">
        <v>74</v>
      </c>
      <c r="B39" s="4">
        <v>45012</v>
      </c>
      <c r="C39" s="4">
        <v>45014</v>
      </c>
      <c r="D39" s="2" t="s">
        <v>27</v>
      </c>
      <c r="E39" s="2" t="s">
        <v>43</v>
      </c>
      <c r="F39" s="2" t="s">
        <v>15</v>
      </c>
      <c r="G39" s="2" t="s">
        <v>25</v>
      </c>
      <c r="H39" s="2" t="s">
        <v>17</v>
      </c>
      <c r="I39" s="14">
        <v>872.86</v>
      </c>
      <c r="J39" s="9">
        <v>2</v>
      </c>
      <c r="K39" s="7">
        <v>0.15</v>
      </c>
      <c r="L39" s="15">
        <v>-45.01</v>
      </c>
    </row>
    <row r="40" spans="1:12" x14ac:dyDescent="0.25">
      <c r="A40" s="2" t="s">
        <v>75</v>
      </c>
      <c r="B40" s="4">
        <v>44996</v>
      </c>
      <c r="C40" s="4">
        <v>44998</v>
      </c>
      <c r="D40" s="2" t="s">
        <v>13</v>
      </c>
      <c r="E40" s="2" t="s">
        <v>20</v>
      </c>
      <c r="F40" s="2" t="s">
        <v>15</v>
      </c>
      <c r="G40" s="2" t="s">
        <v>21</v>
      </c>
      <c r="H40" s="2" t="s">
        <v>17</v>
      </c>
      <c r="I40" s="14">
        <v>982.02</v>
      </c>
      <c r="J40" s="9">
        <v>6</v>
      </c>
      <c r="K40" s="7">
        <v>0</v>
      </c>
      <c r="L40" s="15">
        <v>270.33</v>
      </c>
    </row>
    <row r="41" spans="1:12" x14ac:dyDescent="0.25">
      <c r="A41" s="2" t="s">
        <v>76</v>
      </c>
      <c r="B41" s="4">
        <v>45136</v>
      </c>
      <c r="C41" s="4">
        <v>45142</v>
      </c>
      <c r="D41" s="2" t="s">
        <v>19</v>
      </c>
      <c r="E41" s="2" t="s">
        <v>28</v>
      </c>
      <c r="F41" s="2" t="s">
        <v>35</v>
      </c>
      <c r="G41" s="2" t="s">
        <v>36</v>
      </c>
      <c r="H41" s="2" t="s">
        <v>22</v>
      </c>
      <c r="I41" s="14">
        <v>164.29</v>
      </c>
      <c r="J41" s="9">
        <v>10</v>
      </c>
      <c r="K41" s="7">
        <v>0.3</v>
      </c>
      <c r="L41" s="15">
        <v>13.44</v>
      </c>
    </row>
    <row r="42" spans="1:12" x14ac:dyDescent="0.25">
      <c r="A42" s="2" t="s">
        <v>77</v>
      </c>
      <c r="B42" s="4">
        <v>45248</v>
      </c>
      <c r="C42" s="4">
        <v>45255</v>
      </c>
      <c r="D42" s="2" t="s">
        <v>19</v>
      </c>
      <c r="E42" s="2" t="s">
        <v>43</v>
      </c>
      <c r="F42" s="2" t="s">
        <v>35</v>
      </c>
      <c r="G42" s="2" t="s">
        <v>62</v>
      </c>
      <c r="H42" s="2" t="s">
        <v>17</v>
      </c>
      <c r="I42" s="14">
        <v>53.58</v>
      </c>
      <c r="J42" s="9">
        <v>1</v>
      </c>
      <c r="K42" s="7">
        <v>0</v>
      </c>
      <c r="L42" s="15">
        <v>13.5</v>
      </c>
    </row>
    <row r="43" spans="1:12" x14ac:dyDescent="0.25">
      <c r="A43" s="2" t="s">
        <v>78</v>
      </c>
      <c r="B43" s="4">
        <v>44979</v>
      </c>
      <c r="C43" s="4">
        <v>44982</v>
      </c>
      <c r="D43" s="2" t="s">
        <v>13</v>
      </c>
      <c r="E43" s="2" t="s">
        <v>20</v>
      </c>
      <c r="F43" s="2" t="s">
        <v>35</v>
      </c>
      <c r="G43" s="2" t="s">
        <v>46</v>
      </c>
      <c r="H43" s="2" t="s">
        <v>40</v>
      </c>
      <c r="I43" s="14">
        <v>262.88</v>
      </c>
      <c r="J43" s="9">
        <v>10</v>
      </c>
      <c r="K43" s="7">
        <v>0.1</v>
      </c>
      <c r="L43" s="15">
        <v>-8.1999999999999993</v>
      </c>
    </row>
    <row r="44" spans="1:12" x14ac:dyDescent="0.25">
      <c r="A44" s="2" t="s">
        <v>79</v>
      </c>
      <c r="B44" s="4">
        <v>45034</v>
      </c>
      <c r="C44" s="4">
        <v>45041</v>
      </c>
      <c r="D44" s="2" t="s">
        <v>19</v>
      </c>
      <c r="E44" s="2" t="s">
        <v>20</v>
      </c>
      <c r="F44" s="2" t="s">
        <v>35</v>
      </c>
      <c r="G44" s="2" t="s">
        <v>36</v>
      </c>
      <c r="H44" s="2" t="s">
        <v>22</v>
      </c>
      <c r="I44" s="14">
        <v>152.32</v>
      </c>
      <c r="J44" s="9">
        <v>2</v>
      </c>
      <c r="K44" s="7">
        <v>0.2</v>
      </c>
      <c r="L44" s="15">
        <v>-2.83</v>
      </c>
    </row>
    <row r="45" spans="1:12" x14ac:dyDescent="0.25">
      <c r="A45" s="2" t="s">
        <v>80</v>
      </c>
      <c r="B45" s="4">
        <v>45075</v>
      </c>
      <c r="C45" s="4">
        <v>45077</v>
      </c>
      <c r="D45" s="2" t="s">
        <v>30</v>
      </c>
      <c r="E45" s="2" t="s">
        <v>14</v>
      </c>
      <c r="F45" s="2" t="s">
        <v>35</v>
      </c>
      <c r="G45" s="2" t="s">
        <v>46</v>
      </c>
      <c r="H45" s="2" t="s">
        <v>40</v>
      </c>
      <c r="I45" s="14">
        <v>938.59</v>
      </c>
      <c r="J45" s="9">
        <v>10</v>
      </c>
      <c r="K45" s="7">
        <v>0.15</v>
      </c>
      <c r="L45" s="15">
        <v>147.07</v>
      </c>
    </row>
    <row r="46" spans="1:12" x14ac:dyDescent="0.25">
      <c r="A46" s="2" t="s">
        <v>81</v>
      </c>
      <c r="B46" s="4">
        <v>45267</v>
      </c>
      <c r="C46" s="4">
        <v>45268</v>
      </c>
      <c r="D46" s="2" t="s">
        <v>30</v>
      </c>
      <c r="E46" s="2" t="s">
        <v>14</v>
      </c>
      <c r="F46" s="2" t="s">
        <v>32</v>
      </c>
      <c r="G46" s="2" t="s">
        <v>33</v>
      </c>
      <c r="H46" s="2" t="s">
        <v>17</v>
      </c>
      <c r="I46" s="14">
        <v>935.66</v>
      </c>
      <c r="J46" s="9">
        <v>6</v>
      </c>
      <c r="K46" s="7">
        <v>0</v>
      </c>
      <c r="L46" s="15">
        <v>-169.63</v>
      </c>
    </row>
    <row r="47" spans="1:12" x14ac:dyDescent="0.25">
      <c r="A47" s="2" t="s">
        <v>82</v>
      </c>
      <c r="B47" s="4">
        <v>45134</v>
      </c>
      <c r="C47" s="4">
        <v>45141</v>
      </c>
      <c r="D47" s="2" t="s">
        <v>30</v>
      </c>
      <c r="E47" s="2" t="s">
        <v>20</v>
      </c>
      <c r="F47" s="2" t="s">
        <v>32</v>
      </c>
      <c r="G47" s="2" t="s">
        <v>33</v>
      </c>
      <c r="H47" s="2" t="s">
        <v>22</v>
      </c>
      <c r="I47" s="14">
        <v>269.58999999999997</v>
      </c>
      <c r="J47" s="9">
        <v>8</v>
      </c>
      <c r="K47" s="7">
        <v>0.1</v>
      </c>
      <c r="L47" s="15">
        <v>5.18</v>
      </c>
    </row>
    <row r="48" spans="1:12" x14ac:dyDescent="0.25">
      <c r="A48" s="2" t="s">
        <v>83</v>
      </c>
      <c r="B48" s="4">
        <v>45113</v>
      </c>
      <c r="C48" s="4">
        <v>45116</v>
      </c>
      <c r="D48" s="2" t="s">
        <v>30</v>
      </c>
      <c r="E48" s="2" t="s">
        <v>14</v>
      </c>
      <c r="F48" s="2" t="s">
        <v>35</v>
      </c>
      <c r="G48" s="2" t="s">
        <v>46</v>
      </c>
      <c r="H48" s="2" t="s">
        <v>17</v>
      </c>
      <c r="I48" s="14">
        <v>714.22</v>
      </c>
      <c r="J48" s="9">
        <v>6</v>
      </c>
      <c r="K48" s="7">
        <v>0.1</v>
      </c>
      <c r="L48" s="15">
        <v>60.16</v>
      </c>
    </row>
    <row r="49" spans="1:12" x14ac:dyDescent="0.25">
      <c r="A49" s="2" t="s">
        <v>84</v>
      </c>
      <c r="B49" s="4">
        <v>45115</v>
      </c>
      <c r="C49" s="4">
        <v>45117</v>
      </c>
      <c r="D49" s="2" t="s">
        <v>30</v>
      </c>
      <c r="E49" s="2" t="s">
        <v>20</v>
      </c>
      <c r="F49" s="2" t="s">
        <v>15</v>
      </c>
      <c r="G49" s="2" t="s">
        <v>25</v>
      </c>
      <c r="H49" s="2" t="s">
        <v>17</v>
      </c>
      <c r="I49" s="14">
        <v>558.79</v>
      </c>
      <c r="J49" s="9">
        <v>8</v>
      </c>
      <c r="K49" s="7">
        <v>0.3</v>
      </c>
      <c r="L49" s="15">
        <v>78.88</v>
      </c>
    </row>
    <row r="50" spans="1:12" x14ac:dyDescent="0.25">
      <c r="A50" s="2" t="s">
        <v>85</v>
      </c>
      <c r="B50" s="4">
        <v>45009</v>
      </c>
      <c r="C50" s="4">
        <v>45010</v>
      </c>
      <c r="D50" s="2" t="s">
        <v>19</v>
      </c>
      <c r="E50" s="2" t="s">
        <v>28</v>
      </c>
      <c r="F50" s="2" t="s">
        <v>35</v>
      </c>
      <c r="G50" s="2" t="s">
        <v>36</v>
      </c>
      <c r="H50" s="2" t="s">
        <v>40</v>
      </c>
      <c r="I50" s="14">
        <v>168.09</v>
      </c>
      <c r="J50" s="9">
        <v>5</v>
      </c>
      <c r="K50" s="7">
        <v>0.3</v>
      </c>
      <c r="L50" s="15">
        <v>4.4000000000000004</v>
      </c>
    </row>
    <row r="51" spans="1:12" x14ac:dyDescent="0.25">
      <c r="A51" s="2" t="s">
        <v>86</v>
      </c>
      <c r="B51" s="4">
        <v>44948</v>
      </c>
      <c r="C51" s="4">
        <v>44951</v>
      </c>
      <c r="D51" s="2" t="s">
        <v>13</v>
      </c>
      <c r="E51" s="2" t="s">
        <v>24</v>
      </c>
      <c r="F51" s="2" t="s">
        <v>15</v>
      </c>
      <c r="G51" s="2" t="s">
        <v>16</v>
      </c>
      <c r="H51" s="2" t="s">
        <v>17</v>
      </c>
      <c r="I51" s="14">
        <v>928.02</v>
      </c>
      <c r="J51" s="9">
        <v>8</v>
      </c>
      <c r="K51" s="7">
        <v>0</v>
      </c>
      <c r="L51" s="15">
        <v>35.81</v>
      </c>
    </row>
    <row r="52" spans="1:12" x14ac:dyDescent="0.25">
      <c r="A52" s="2" t="s">
        <v>87</v>
      </c>
      <c r="B52" s="4">
        <v>45242</v>
      </c>
      <c r="C52" s="4">
        <v>45243</v>
      </c>
      <c r="D52" s="2" t="s">
        <v>13</v>
      </c>
      <c r="E52" s="2" t="s">
        <v>14</v>
      </c>
      <c r="F52" s="2" t="s">
        <v>35</v>
      </c>
      <c r="G52" s="2" t="s">
        <v>36</v>
      </c>
      <c r="H52" s="2" t="s">
        <v>40</v>
      </c>
      <c r="I52" s="14">
        <v>407.84</v>
      </c>
      <c r="J52" s="9">
        <v>7</v>
      </c>
      <c r="K52" s="7">
        <v>0.15</v>
      </c>
      <c r="L52" s="15">
        <v>29.56</v>
      </c>
    </row>
    <row r="53" spans="1:12" x14ac:dyDescent="0.25">
      <c r="A53" s="2" t="s">
        <v>88</v>
      </c>
      <c r="B53" s="4">
        <v>45167</v>
      </c>
      <c r="C53" s="4">
        <v>45174</v>
      </c>
      <c r="D53" s="2" t="s">
        <v>13</v>
      </c>
      <c r="E53" s="2" t="s">
        <v>28</v>
      </c>
      <c r="F53" s="2" t="s">
        <v>32</v>
      </c>
      <c r="G53" s="2" t="s">
        <v>33</v>
      </c>
      <c r="H53" s="2" t="s">
        <v>40</v>
      </c>
      <c r="I53" s="14">
        <v>739.59</v>
      </c>
      <c r="J53" s="9">
        <v>8</v>
      </c>
      <c r="K53" s="7">
        <v>0.2</v>
      </c>
      <c r="L53" s="15">
        <v>-21.62</v>
      </c>
    </row>
    <row r="54" spans="1:12" x14ac:dyDescent="0.25">
      <c r="A54" s="2" t="s">
        <v>89</v>
      </c>
      <c r="B54" s="4">
        <v>45147</v>
      </c>
      <c r="C54" s="4">
        <v>45154</v>
      </c>
      <c r="D54" s="2" t="s">
        <v>13</v>
      </c>
      <c r="E54" s="2" t="s">
        <v>24</v>
      </c>
      <c r="F54" s="2" t="s">
        <v>35</v>
      </c>
      <c r="G54" s="2" t="s">
        <v>46</v>
      </c>
      <c r="H54" s="2" t="s">
        <v>22</v>
      </c>
      <c r="I54" s="14">
        <v>67.709999999999994</v>
      </c>
      <c r="J54" s="9">
        <v>8</v>
      </c>
      <c r="K54" s="7">
        <v>0.3</v>
      </c>
      <c r="L54" s="15">
        <v>3.07</v>
      </c>
    </row>
    <row r="55" spans="1:12" x14ac:dyDescent="0.25">
      <c r="A55" s="2" t="s">
        <v>90</v>
      </c>
      <c r="B55" s="4">
        <v>45252</v>
      </c>
      <c r="C55" s="4">
        <v>45254</v>
      </c>
      <c r="D55" s="2" t="s">
        <v>19</v>
      </c>
      <c r="E55" s="2" t="s">
        <v>28</v>
      </c>
      <c r="F55" s="2" t="s">
        <v>15</v>
      </c>
      <c r="G55" s="2" t="s">
        <v>21</v>
      </c>
      <c r="H55" s="2" t="s">
        <v>22</v>
      </c>
      <c r="I55" s="14">
        <v>148.72999999999999</v>
      </c>
      <c r="J55" s="9">
        <v>2</v>
      </c>
      <c r="K55" s="7">
        <v>0</v>
      </c>
      <c r="L55" s="15">
        <v>41.78</v>
      </c>
    </row>
    <row r="56" spans="1:12" x14ac:dyDescent="0.25">
      <c r="A56" s="2" t="s">
        <v>91</v>
      </c>
      <c r="B56" s="4">
        <v>45122</v>
      </c>
      <c r="C56" s="4">
        <v>45127</v>
      </c>
      <c r="D56" s="2" t="s">
        <v>27</v>
      </c>
      <c r="E56" s="2" t="s">
        <v>24</v>
      </c>
      <c r="F56" s="2" t="s">
        <v>15</v>
      </c>
      <c r="G56" s="2" t="s">
        <v>21</v>
      </c>
      <c r="H56" s="2" t="s">
        <v>22</v>
      </c>
      <c r="I56" s="14">
        <v>939.32</v>
      </c>
      <c r="J56" s="9">
        <v>3</v>
      </c>
      <c r="K56" s="7">
        <v>0.15</v>
      </c>
      <c r="L56" s="15">
        <v>85.34</v>
      </c>
    </row>
    <row r="57" spans="1:12" x14ac:dyDescent="0.25">
      <c r="A57" s="2" t="s">
        <v>92</v>
      </c>
      <c r="B57" s="4">
        <v>44937</v>
      </c>
      <c r="C57" s="4">
        <v>44941</v>
      </c>
      <c r="D57" s="2" t="s">
        <v>30</v>
      </c>
      <c r="E57" s="2" t="s">
        <v>24</v>
      </c>
      <c r="F57" s="2" t="s">
        <v>35</v>
      </c>
      <c r="G57" s="2" t="s">
        <v>46</v>
      </c>
      <c r="H57" s="2" t="s">
        <v>40</v>
      </c>
      <c r="I57" s="14">
        <v>824.56</v>
      </c>
      <c r="J57" s="9">
        <v>8</v>
      </c>
      <c r="K57" s="7">
        <v>0.1</v>
      </c>
      <c r="L57" s="15">
        <v>-16.21</v>
      </c>
    </row>
    <row r="58" spans="1:12" x14ac:dyDescent="0.25">
      <c r="A58" s="2" t="s">
        <v>93</v>
      </c>
      <c r="B58" s="4">
        <v>44928</v>
      </c>
      <c r="C58" s="4">
        <v>44932</v>
      </c>
      <c r="D58" s="2" t="s">
        <v>30</v>
      </c>
      <c r="E58" s="2" t="s">
        <v>28</v>
      </c>
      <c r="F58" s="2" t="s">
        <v>32</v>
      </c>
      <c r="G58" s="2" t="s">
        <v>39</v>
      </c>
      <c r="H58" s="2" t="s">
        <v>40</v>
      </c>
      <c r="I58" s="14">
        <v>842.23</v>
      </c>
      <c r="J58" s="9">
        <v>8</v>
      </c>
      <c r="K58" s="7">
        <v>0.1</v>
      </c>
      <c r="L58" s="15">
        <v>209.69</v>
      </c>
    </row>
    <row r="59" spans="1:12" x14ac:dyDescent="0.25">
      <c r="A59" s="2" t="s">
        <v>94</v>
      </c>
      <c r="B59" s="4">
        <v>44928</v>
      </c>
      <c r="C59" s="4">
        <v>44934</v>
      </c>
      <c r="D59" s="2" t="s">
        <v>13</v>
      </c>
      <c r="E59" s="2" t="s">
        <v>20</v>
      </c>
      <c r="F59" s="2" t="s">
        <v>32</v>
      </c>
      <c r="G59" s="2" t="s">
        <v>33</v>
      </c>
      <c r="H59" s="2" t="s">
        <v>40</v>
      </c>
      <c r="I59" s="14">
        <v>241.69</v>
      </c>
      <c r="J59" s="9">
        <v>2</v>
      </c>
      <c r="K59" s="7">
        <v>0.2</v>
      </c>
      <c r="L59" s="15">
        <v>-29.54</v>
      </c>
    </row>
    <row r="60" spans="1:12" x14ac:dyDescent="0.25">
      <c r="A60" s="2" t="s">
        <v>95</v>
      </c>
      <c r="B60" s="4">
        <v>44948</v>
      </c>
      <c r="C60" s="4">
        <v>44954</v>
      </c>
      <c r="D60" s="2" t="s">
        <v>19</v>
      </c>
      <c r="E60" s="2" t="s">
        <v>43</v>
      </c>
      <c r="F60" s="2" t="s">
        <v>35</v>
      </c>
      <c r="G60" s="2" t="s">
        <v>62</v>
      </c>
      <c r="H60" s="2" t="s">
        <v>22</v>
      </c>
      <c r="I60" s="14">
        <v>96.27</v>
      </c>
      <c r="J60" s="9">
        <v>4</v>
      </c>
      <c r="K60" s="7">
        <v>0.15</v>
      </c>
      <c r="L60" s="15">
        <v>2.4900000000000002</v>
      </c>
    </row>
    <row r="61" spans="1:12" x14ac:dyDescent="0.25">
      <c r="A61" s="2" t="s">
        <v>96</v>
      </c>
      <c r="B61" s="4">
        <v>45015</v>
      </c>
      <c r="C61" s="4">
        <v>45016</v>
      </c>
      <c r="D61" s="2" t="s">
        <v>30</v>
      </c>
      <c r="E61" s="2" t="s">
        <v>43</v>
      </c>
      <c r="F61" s="2" t="s">
        <v>35</v>
      </c>
      <c r="G61" s="2" t="s">
        <v>62</v>
      </c>
      <c r="H61" s="2" t="s">
        <v>40</v>
      </c>
      <c r="I61" s="14">
        <v>891.68</v>
      </c>
      <c r="J61" s="9">
        <v>2</v>
      </c>
      <c r="K61" s="7">
        <v>0</v>
      </c>
      <c r="L61" s="15">
        <v>10.42</v>
      </c>
    </row>
    <row r="62" spans="1:12" x14ac:dyDescent="0.25">
      <c r="A62" s="2" t="s">
        <v>97</v>
      </c>
      <c r="B62" s="4">
        <v>44936</v>
      </c>
      <c r="C62" s="4">
        <v>44939</v>
      </c>
      <c r="D62" s="2" t="s">
        <v>30</v>
      </c>
      <c r="E62" s="2" t="s">
        <v>14</v>
      </c>
      <c r="F62" s="2" t="s">
        <v>32</v>
      </c>
      <c r="G62" s="2" t="s">
        <v>33</v>
      </c>
      <c r="H62" s="2" t="s">
        <v>17</v>
      </c>
      <c r="I62" s="14">
        <v>356.72</v>
      </c>
      <c r="J62" s="9">
        <v>7</v>
      </c>
      <c r="K62" s="7">
        <v>0.1</v>
      </c>
      <c r="L62" s="15">
        <v>-43.04</v>
      </c>
    </row>
    <row r="63" spans="1:12" x14ac:dyDescent="0.25">
      <c r="A63" s="2" t="s">
        <v>98</v>
      </c>
      <c r="B63" s="4">
        <v>45203</v>
      </c>
      <c r="C63" s="4">
        <v>45204</v>
      </c>
      <c r="D63" s="2" t="s">
        <v>13</v>
      </c>
      <c r="E63" s="2" t="s">
        <v>28</v>
      </c>
      <c r="F63" s="2" t="s">
        <v>32</v>
      </c>
      <c r="G63" s="2" t="s">
        <v>39</v>
      </c>
      <c r="H63" s="2" t="s">
        <v>17</v>
      </c>
      <c r="I63" s="14">
        <v>541.20000000000005</v>
      </c>
      <c r="J63" s="9">
        <v>5</v>
      </c>
      <c r="K63" s="7">
        <v>0</v>
      </c>
      <c r="L63" s="15">
        <v>152.47</v>
      </c>
    </row>
    <row r="64" spans="1:12" x14ac:dyDescent="0.25">
      <c r="A64" s="2" t="s">
        <v>99</v>
      </c>
      <c r="B64" s="4">
        <v>45281</v>
      </c>
      <c r="C64" s="4">
        <v>45284</v>
      </c>
      <c r="D64" s="2" t="s">
        <v>30</v>
      </c>
      <c r="E64" s="2" t="s">
        <v>28</v>
      </c>
      <c r="F64" s="2" t="s">
        <v>15</v>
      </c>
      <c r="G64" s="2" t="s">
        <v>25</v>
      </c>
      <c r="H64" s="2" t="s">
        <v>22</v>
      </c>
      <c r="I64" s="14">
        <v>341.94</v>
      </c>
      <c r="J64" s="9">
        <v>7</v>
      </c>
      <c r="K64" s="7">
        <v>0.2</v>
      </c>
      <c r="L64" s="15">
        <v>76.959999999999994</v>
      </c>
    </row>
    <row r="65" spans="1:12" x14ac:dyDescent="0.25">
      <c r="A65" s="2" t="s">
        <v>100</v>
      </c>
      <c r="B65" s="4">
        <v>45207</v>
      </c>
      <c r="C65" s="4">
        <v>45211</v>
      </c>
      <c r="D65" s="2" t="s">
        <v>19</v>
      </c>
      <c r="E65" s="2" t="s">
        <v>14</v>
      </c>
      <c r="F65" s="2" t="s">
        <v>32</v>
      </c>
      <c r="G65" s="2" t="s">
        <v>53</v>
      </c>
      <c r="H65" s="2" t="s">
        <v>22</v>
      </c>
      <c r="I65" s="14">
        <v>913.55</v>
      </c>
      <c r="J65" s="9">
        <v>10</v>
      </c>
      <c r="K65" s="7">
        <v>0.15</v>
      </c>
      <c r="L65" s="15">
        <v>-67.64</v>
      </c>
    </row>
    <row r="66" spans="1:12" x14ac:dyDescent="0.25">
      <c r="A66" s="2" t="s">
        <v>101</v>
      </c>
      <c r="B66" s="4">
        <v>44999</v>
      </c>
      <c r="C66" s="4">
        <v>45000</v>
      </c>
      <c r="D66" s="2" t="s">
        <v>13</v>
      </c>
      <c r="E66" s="2" t="s">
        <v>49</v>
      </c>
      <c r="F66" s="2" t="s">
        <v>32</v>
      </c>
      <c r="G66" s="2" t="s">
        <v>39</v>
      </c>
      <c r="H66" s="2" t="s">
        <v>40</v>
      </c>
      <c r="I66" s="14">
        <v>618.69000000000005</v>
      </c>
      <c r="J66" s="9">
        <v>2</v>
      </c>
      <c r="K66" s="7">
        <v>0.1</v>
      </c>
      <c r="L66" s="15">
        <v>116.01</v>
      </c>
    </row>
    <row r="67" spans="1:12" x14ac:dyDescent="0.25">
      <c r="A67" s="2" t="s">
        <v>102</v>
      </c>
      <c r="B67" s="4">
        <v>45091</v>
      </c>
      <c r="C67" s="4">
        <v>45098</v>
      </c>
      <c r="D67" s="2" t="s">
        <v>13</v>
      </c>
      <c r="E67" s="2" t="s">
        <v>49</v>
      </c>
      <c r="F67" s="2" t="s">
        <v>35</v>
      </c>
      <c r="G67" s="2" t="s">
        <v>46</v>
      </c>
      <c r="H67" s="2" t="s">
        <v>22</v>
      </c>
      <c r="I67" s="14">
        <v>884.17</v>
      </c>
      <c r="J67" s="9">
        <v>7</v>
      </c>
      <c r="K67" s="7">
        <v>0.1</v>
      </c>
      <c r="L67" s="15">
        <v>229.67</v>
      </c>
    </row>
    <row r="68" spans="1:12" x14ac:dyDescent="0.25">
      <c r="A68" s="2" t="s">
        <v>103</v>
      </c>
      <c r="B68" s="4">
        <v>44958</v>
      </c>
      <c r="C68" s="4">
        <v>44963</v>
      </c>
      <c r="D68" s="2" t="s">
        <v>27</v>
      </c>
      <c r="E68" s="2" t="s">
        <v>43</v>
      </c>
      <c r="F68" s="2" t="s">
        <v>32</v>
      </c>
      <c r="G68" s="2" t="s">
        <v>53</v>
      </c>
      <c r="H68" s="2" t="s">
        <v>22</v>
      </c>
      <c r="I68" s="14">
        <v>791.08</v>
      </c>
      <c r="J68" s="9">
        <v>2</v>
      </c>
      <c r="K68" s="7">
        <v>0</v>
      </c>
      <c r="L68" s="15">
        <v>-58.97</v>
      </c>
    </row>
    <row r="69" spans="1:12" x14ac:dyDescent="0.25">
      <c r="A69" s="2" t="s">
        <v>104</v>
      </c>
      <c r="B69" s="4">
        <v>45105</v>
      </c>
      <c r="C69" s="4">
        <v>45112</v>
      </c>
      <c r="D69" s="2" t="s">
        <v>19</v>
      </c>
      <c r="E69" s="2" t="s">
        <v>20</v>
      </c>
      <c r="F69" s="2" t="s">
        <v>35</v>
      </c>
      <c r="G69" s="2" t="s">
        <v>62</v>
      </c>
      <c r="H69" s="2" t="s">
        <v>17</v>
      </c>
      <c r="I69" s="14">
        <v>247.14</v>
      </c>
      <c r="J69" s="9">
        <v>10</v>
      </c>
      <c r="K69" s="7">
        <v>0.15</v>
      </c>
      <c r="L69" s="15">
        <v>-3.5</v>
      </c>
    </row>
    <row r="70" spans="1:12" x14ac:dyDescent="0.25">
      <c r="A70" s="2" t="s">
        <v>105</v>
      </c>
      <c r="B70" s="4">
        <v>44937</v>
      </c>
      <c r="C70" s="4">
        <v>44942</v>
      </c>
      <c r="D70" s="2" t="s">
        <v>19</v>
      </c>
      <c r="E70" s="2" t="s">
        <v>43</v>
      </c>
      <c r="F70" s="2" t="s">
        <v>15</v>
      </c>
      <c r="G70" s="2" t="s">
        <v>21</v>
      </c>
      <c r="H70" s="2" t="s">
        <v>40</v>
      </c>
      <c r="I70" s="14">
        <v>392.63</v>
      </c>
      <c r="J70" s="9">
        <v>5</v>
      </c>
      <c r="K70" s="7">
        <v>0.1</v>
      </c>
      <c r="L70" s="15">
        <v>-54.82</v>
      </c>
    </row>
    <row r="71" spans="1:12" x14ac:dyDescent="0.25">
      <c r="A71" s="2" t="s">
        <v>106</v>
      </c>
      <c r="B71" s="4">
        <v>45168</v>
      </c>
      <c r="C71" s="4">
        <v>45172</v>
      </c>
      <c r="D71" s="2" t="s">
        <v>30</v>
      </c>
      <c r="E71" s="2" t="s">
        <v>14</v>
      </c>
      <c r="F71" s="2" t="s">
        <v>15</v>
      </c>
      <c r="G71" s="2" t="s">
        <v>21</v>
      </c>
      <c r="H71" s="2" t="s">
        <v>22</v>
      </c>
      <c r="I71" s="14">
        <v>134.81</v>
      </c>
      <c r="J71" s="9">
        <v>1</v>
      </c>
      <c r="K71" s="7">
        <v>0.1</v>
      </c>
      <c r="L71" s="15">
        <v>-18.559999999999999</v>
      </c>
    </row>
    <row r="72" spans="1:12" x14ac:dyDescent="0.25">
      <c r="A72" s="2" t="s">
        <v>107</v>
      </c>
      <c r="B72" s="4">
        <v>45144</v>
      </c>
      <c r="C72" s="4">
        <v>45150</v>
      </c>
      <c r="D72" s="2" t="s">
        <v>27</v>
      </c>
      <c r="E72" s="2" t="s">
        <v>24</v>
      </c>
      <c r="F72" s="2" t="s">
        <v>32</v>
      </c>
      <c r="G72" s="2" t="s">
        <v>33</v>
      </c>
      <c r="H72" s="2" t="s">
        <v>22</v>
      </c>
      <c r="I72" s="14">
        <v>224.38</v>
      </c>
      <c r="J72" s="9">
        <v>3</v>
      </c>
      <c r="K72" s="7">
        <v>0.1</v>
      </c>
      <c r="L72" s="15">
        <v>12.3</v>
      </c>
    </row>
    <row r="73" spans="1:12" x14ac:dyDescent="0.25">
      <c r="A73" s="2" t="s">
        <v>108</v>
      </c>
      <c r="B73" s="4">
        <v>45196</v>
      </c>
      <c r="C73" s="4">
        <v>45197</v>
      </c>
      <c r="D73" s="2" t="s">
        <v>27</v>
      </c>
      <c r="E73" s="2" t="s">
        <v>24</v>
      </c>
      <c r="F73" s="2" t="s">
        <v>35</v>
      </c>
      <c r="G73" s="2" t="s">
        <v>36</v>
      </c>
      <c r="H73" s="2" t="s">
        <v>22</v>
      </c>
      <c r="I73" s="14">
        <v>561.84</v>
      </c>
      <c r="J73" s="9">
        <v>2</v>
      </c>
      <c r="K73" s="7">
        <v>0</v>
      </c>
      <c r="L73" s="15">
        <v>-89.19</v>
      </c>
    </row>
    <row r="74" spans="1:12" x14ac:dyDescent="0.25">
      <c r="A74" s="2" t="s">
        <v>109</v>
      </c>
      <c r="B74" s="4">
        <v>45069</v>
      </c>
      <c r="C74" s="4">
        <v>45075</v>
      </c>
      <c r="D74" s="2" t="s">
        <v>13</v>
      </c>
      <c r="E74" s="2" t="s">
        <v>14</v>
      </c>
      <c r="F74" s="2" t="s">
        <v>15</v>
      </c>
      <c r="G74" s="2" t="s">
        <v>21</v>
      </c>
      <c r="H74" s="2" t="s">
        <v>17</v>
      </c>
      <c r="I74" s="14">
        <v>564.69000000000005</v>
      </c>
      <c r="J74" s="9">
        <v>6</v>
      </c>
      <c r="K74" s="7">
        <v>0.15</v>
      </c>
      <c r="L74" s="15">
        <v>-54.29</v>
      </c>
    </row>
    <row r="75" spans="1:12" x14ac:dyDescent="0.25">
      <c r="A75" s="2" t="s">
        <v>110</v>
      </c>
      <c r="B75" s="4">
        <v>45210</v>
      </c>
      <c r="C75" s="4">
        <v>45214</v>
      </c>
      <c r="D75" s="2" t="s">
        <v>30</v>
      </c>
      <c r="E75" s="2" t="s">
        <v>14</v>
      </c>
      <c r="F75" s="2" t="s">
        <v>32</v>
      </c>
      <c r="G75" s="2" t="s">
        <v>39</v>
      </c>
      <c r="H75" s="2" t="s">
        <v>22</v>
      </c>
      <c r="I75" s="14">
        <v>28.99</v>
      </c>
      <c r="J75" s="9">
        <v>6</v>
      </c>
      <c r="K75" s="7">
        <v>0</v>
      </c>
      <c r="L75" s="15">
        <v>7.62</v>
      </c>
    </row>
    <row r="76" spans="1:12" x14ac:dyDescent="0.25">
      <c r="A76" s="2" t="s">
        <v>111</v>
      </c>
      <c r="B76" s="4">
        <v>44952</v>
      </c>
      <c r="C76" s="4">
        <v>44959</v>
      </c>
      <c r="D76" s="2" t="s">
        <v>27</v>
      </c>
      <c r="E76" s="2" t="s">
        <v>43</v>
      </c>
      <c r="F76" s="2" t="s">
        <v>15</v>
      </c>
      <c r="G76" s="2" t="s">
        <v>25</v>
      </c>
      <c r="H76" s="2" t="s">
        <v>22</v>
      </c>
      <c r="I76" s="14">
        <v>902.86</v>
      </c>
      <c r="J76" s="9">
        <v>8</v>
      </c>
      <c r="K76" s="7">
        <v>0</v>
      </c>
      <c r="L76" s="15">
        <v>-16.47</v>
      </c>
    </row>
    <row r="77" spans="1:12" x14ac:dyDescent="0.25">
      <c r="A77" s="2" t="s">
        <v>112</v>
      </c>
      <c r="B77" s="4">
        <v>45157</v>
      </c>
      <c r="C77" s="4">
        <v>45162</v>
      </c>
      <c r="D77" s="2" t="s">
        <v>13</v>
      </c>
      <c r="E77" s="2" t="s">
        <v>28</v>
      </c>
      <c r="F77" s="2" t="s">
        <v>15</v>
      </c>
      <c r="G77" s="2" t="s">
        <v>16</v>
      </c>
      <c r="H77" s="2" t="s">
        <v>40</v>
      </c>
      <c r="I77" s="14">
        <v>614.99</v>
      </c>
      <c r="J77" s="9">
        <v>1</v>
      </c>
      <c r="K77" s="7">
        <v>0</v>
      </c>
      <c r="L77" s="15">
        <v>89.85</v>
      </c>
    </row>
    <row r="78" spans="1:12" x14ac:dyDescent="0.25">
      <c r="A78" s="2" t="s">
        <v>113</v>
      </c>
      <c r="B78" s="4">
        <v>45168</v>
      </c>
      <c r="C78" s="4">
        <v>45169</v>
      </c>
      <c r="D78" s="2" t="s">
        <v>13</v>
      </c>
      <c r="E78" s="2" t="s">
        <v>14</v>
      </c>
      <c r="F78" s="2" t="s">
        <v>32</v>
      </c>
      <c r="G78" s="2" t="s">
        <v>33</v>
      </c>
      <c r="H78" s="2" t="s">
        <v>40</v>
      </c>
      <c r="I78" s="14">
        <v>117.28</v>
      </c>
      <c r="J78" s="9">
        <v>4</v>
      </c>
      <c r="K78" s="7">
        <v>0</v>
      </c>
      <c r="L78" s="15">
        <v>33.29</v>
      </c>
    </row>
    <row r="79" spans="1:12" x14ac:dyDescent="0.25">
      <c r="A79" s="2" t="s">
        <v>114</v>
      </c>
      <c r="B79" s="4">
        <v>44973</v>
      </c>
      <c r="C79" s="4">
        <v>44974</v>
      </c>
      <c r="D79" s="2" t="s">
        <v>19</v>
      </c>
      <c r="E79" s="2" t="s">
        <v>20</v>
      </c>
      <c r="F79" s="2" t="s">
        <v>32</v>
      </c>
      <c r="G79" s="2" t="s">
        <v>39</v>
      </c>
      <c r="H79" s="2" t="s">
        <v>40</v>
      </c>
      <c r="I79" s="14">
        <v>750.47</v>
      </c>
      <c r="J79" s="9">
        <v>4</v>
      </c>
      <c r="K79" s="7">
        <v>0.1</v>
      </c>
      <c r="L79" s="15">
        <v>158</v>
      </c>
    </row>
    <row r="80" spans="1:12" x14ac:dyDescent="0.25">
      <c r="A80" s="2" t="s">
        <v>115</v>
      </c>
      <c r="B80" s="4">
        <v>44988</v>
      </c>
      <c r="C80" s="4">
        <v>44992</v>
      </c>
      <c r="D80" s="2" t="s">
        <v>27</v>
      </c>
      <c r="E80" s="2" t="s">
        <v>24</v>
      </c>
      <c r="F80" s="2" t="s">
        <v>32</v>
      </c>
      <c r="G80" s="2" t="s">
        <v>33</v>
      </c>
      <c r="H80" s="2" t="s">
        <v>17</v>
      </c>
      <c r="I80" s="14">
        <v>151.51</v>
      </c>
      <c r="J80" s="9">
        <v>4</v>
      </c>
      <c r="K80" s="7">
        <v>0.3</v>
      </c>
      <c r="L80" s="15">
        <v>-9.85</v>
      </c>
    </row>
    <row r="81" spans="1:12" x14ac:dyDescent="0.25">
      <c r="A81" s="2" t="s">
        <v>116</v>
      </c>
      <c r="B81" s="4">
        <v>45202</v>
      </c>
      <c r="C81" s="4">
        <v>45206</v>
      </c>
      <c r="D81" s="2" t="s">
        <v>30</v>
      </c>
      <c r="E81" s="2" t="s">
        <v>24</v>
      </c>
      <c r="F81" s="2" t="s">
        <v>32</v>
      </c>
      <c r="G81" s="2" t="s">
        <v>39</v>
      </c>
      <c r="H81" s="2" t="s">
        <v>22</v>
      </c>
      <c r="I81" s="14">
        <v>281.33</v>
      </c>
      <c r="J81" s="9">
        <v>2</v>
      </c>
      <c r="K81" s="7">
        <v>0.2</v>
      </c>
      <c r="L81" s="15">
        <v>15.27</v>
      </c>
    </row>
    <row r="82" spans="1:12" x14ac:dyDescent="0.25">
      <c r="A82" s="2" t="s">
        <v>117</v>
      </c>
      <c r="B82" s="4">
        <v>45125</v>
      </c>
      <c r="C82" s="4">
        <v>45128</v>
      </c>
      <c r="D82" s="2" t="s">
        <v>13</v>
      </c>
      <c r="E82" s="2" t="s">
        <v>49</v>
      </c>
      <c r="F82" s="2" t="s">
        <v>32</v>
      </c>
      <c r="G82" s="2" t="s">
        <v>39</v>
      </c>
      <c r="H82" s="2" t="s">
        <v>22</v>
      </c>
      <c r="I82" s="14">
        <v>84.17</v>
      </c>
      <c r="J82" s="9">
        <v>10</v>
      </c>
      <c r="K82" s="7">
        <v>0</v>
      </c>
      <c r="L82" s="15">
        <v>10.36</v>
      </c>
    </row>
    <row r="83" spans="1:12" x14ac:dyDescent="0.25">
      <c r="A83" s="2" t="s">
        <v>118</v>
      </c>
      <c r="B83" s="4">
        <v>45042</v>
      </c>
      <c r="C83" s="4">
        <v>45047</v>
      </c>
      <c r="D83" s="2" t="s">
        <v>13</v>
      </c>
      <c r="E83" s="2" t="s">
        <v>43</v>
      </c>
      <c r="F83" s="2" t="s">
        <v>32</v>
      </c>
      <c r="G83" s="2" t="s">
        <v>53</v>
      </c>
      <c r="H83" s="2" t="s">
        <v>40</v>
      </c>
      <c r="I83" s="14">
        <v>803.74</v>
      </c>
      <c r="J83" s="9">
        <v>7</v>
      </c>
      <c r="K83" s="7">
        <v>0.2</v>
      </c>
      <c r="L83" s="15">
        <v>-11.24</v>
      </c>
    </row>
    <row r="84" spans="1:12" x14ac:dyDescent="0.25">
      <c r="A84" s="2" t="s">
        <v>119</v>
      </c>
      <c r="B84" s="4">
        <v>45077</v>
      </c>
      <c r="C84" s="4">
        <v>45078</v>
      </c>
      <c r="D84" s="2" t="s">
        <v>27</v>
      </c>
      <c r="E84" s="2" t="s">
        <v>20</v>
      </c>
      <c r="F84" s="2" t="s">
        <v>15</v>
      </c>
      <c r="G84" s="2" t="s">
        <v>21</v>
      </c>
      <c r="H84" s="2" t="s">
        <v>22</v>
      </c>
      <c r="I84" s="14">
        <v>474.75</v>
      </c>
      <c r="J84" s="9">
        <v>4</v>
      </c>
      <c r="K84" s="7">
        <v>0</v>
      </c>
      <c r="L84" s="15">
        <v>-37.51</v>
      </c>
    </row>
    <row r="85" spans="1:12" x14ac:dyDescent="0.25">
      <c r="A85" s="2" t="s">
        <v>120</v>
      </c>
      <c r="B85" s="4">
        <v>45164</v>
      </c>
      <c r="C85" s="4">
        <v>45170</v>
      </c>
      <c r="D85" s="2" t="s">
        <v>19</v>
      </c>
      <c r="E85" s="2" t="s">
        <v>43</v>
      </c>
      <c r="F85" s="2" t="s">
        <v>35</v>
      </c>
      <c r="G85" s="2" t="s">
        <v>46</v>
      </c>
      <c r="H85" s="2" t="s">
        <v>22</v>
      </c>
      <c r="I85" s="14">
        <v>102.64</v>
      </c>
      <c r="J85" s="9">
        <v>6</v>
      </c>
      <c r="K85" s="7">
        <v>0</v>
      </c>
      <c r="L85" s="15">
        <v>0.16</v>
      </c>
    </row>
    <row r="86" spans="1:12" x14ac:dyDescent="0.25">
      <c r="A86" s="2" t="s">
        <v>121</v>
      </c>
      <c r="B86" s="4">
        <v>45233</v>
      </c>
      <c r="C86" s="4">
        <v>45236</v>
      </c>
      <c r="D86" s="2" t="s">
        <v>30</v>
      </c>
      <c r="E86" s="2" t="s">
        <v>49</v>
      </c>
      <c r="F86" s="2" t="s">
        <v>15</v>
      </c>
      <c r="G86" s="2" t="s">
        <v>21</v>
      </c>
      <c r="H86" s="2" t="s">
        <v>22</v>
      </c>
      <c r="I86" s="14">
        <v>381.87</v>
      </c>
      <c r="J86" s="9">
        <v>3</v>
      </c>
      <c r="K86" s="7">
        <v>0.1</v>
      </c>
      <c r="L86" s="15">
        <v>95.86</v>
      </c>
    </row>
    <row r="87" spans="1:12" x14ac:dyDescent="0.25">
      <c r="A87" s="2" t="s">
        <v>122</v>
      </c>
      <c r="B87" s="4">
        <v>45242</v>
      </c>
      <c r="C87" s="4">
        <v>45248</v>
      </c>
      <c r="D87" s="2" t="s">
        <v>30</v>
      </c>
      <c r="E87" s="2" t="s">
        <v>24</v>
      </c>
      <c r="F87" s="2" t="s">
        <v>35</v>
      </c>
      <c r="G87" s="2" t="s">
        <v>62</v>
      </c>
      <c r="H87" s="2" t="s">
        <v>22</v>
      </c>
      <c r="I87" s="14">
        <v>494.82</v>
      </c>
      <c r="J87" s="9">
        <v>3</v>
      </c>
      <c r="K87" s="7">
        <v>0</v>
      </c>
      <c r="L87" s="15">
        <v>-20.28</v>
      </c>
    </row>
    <row r="88" spans="1:12" hidden="1" x14ac:dyDescent="0.25">
      <c r="A88" s="2" t="s">
        <v>123</v>
      </c>
      <c r="B88" s="4">
        <v>45287</v>
      </c>
      <c r="C88" s="4">
        <v>45294</v>
      </c>
      <c r="D88" s="2" t="s">
        <v>13</v>
      </c>
      <c r="E88" s="2" t="s">
        <v>24</v>
      </c>
      <c r="F88" s="2" t="s">
        <v>35</v>
      </c>
      <c r="G88" s="2" t="s">
        <v>36</v>
      </c>
      <c r="H88" s="2" t="s">
        <v>22</v>
      </c>
      <c r="I88" s="5">
        <v>258.02999999999997</v>
      </c>
      <c r="J88" s="9">
        <v>9</v>
      </c>
      <c r="K88" s="7">
        <v>0.2</v>
      </c>
      <c r="L88" s="7">
        <v>-34.630000000000003</v>
      </c>
    </row>
    <row r="89" spans="1:12" x14ac:dyDescent="0.25">
      <c r="A89" s="2" t="s">
        <v>124</v>
      </c>
      <c r="B89" s="4">
        <v>45140</v>
      </c>
      <c r="C89" s="4">
        <v>45141</v>
      </c>
      <c r="D89" s="2" t="s">
        <v>19</v>
      </c>
      <c r="E89" s="2" t="s">
        <v>24</v>
      </c>
      <c r="F89" s="2" t="s">
        <v>15</v>
      </c>
      <c r="G89" s="2" t="s">
        <v>25</v>
      </c>
      <c r="H89" s="2" t="s">
        <v>22</v>
      </c>
      <c r="I89" s="14">
        <v>459.32</v>
      </c>
      <c r="J89" s="9">
        <v>3</v>
      </c>
      <c r="K89" s="7">
        <v>0.1</v>
      </c>
      <c r="L89" s="15">
        <v>-35.119999999999997</v>
      </c>
    </row>
    <row r="90" spans="1:12" x14ac:dyDescent="0.25">
      <c r="A90" s="2" t="s">
        <v>125</v>
      </c>
      <c r="B90" s="4">
        <v>45099</v>
      </c>
      <c r="C90" s="4">
        <v>45100</v>
      </c>
      <c r="D90" s="2" t="s">
        <v>30</v>
      </c>
      <c r="E90" s="2" t="s">
        <v>49</v>
      </c>
      <c r="F90" s="2" t="s">
        <v>15</v>
      </c>
      <c r="G90" s="2" t="s">
        <v>21</v>
      </c>
      <c r="H90" s="2" t="s">
        <v>22</v>
      </c>
      <c r="I90" s="14">
        <v>413.3</v>
      </c>
      <c r="J90" s="9">
        <v>5</v>
      </c>
      <c r="K90" s="7">
        <v>0.3</v>
      </c>
      <c r="L90" s="15">
        <v>39.96</v>
      </c>
    </row>
    <row r="91" spans="1:12" x14ac:dyDescent="0.25">
      <c r="A91" s="2" t="s">
        <v>126</v>
      </c>
      <c r="B91" s="4">
        <v>45240</v>
      </c>
      <c r="C91" s="4">
        <v>45245</v>
      </c>
      <c r="D91" s="2" t="s">
        <v>27</v>
      </c>
      <c r="E91" s="2" t="s">
        <v>43</v>
      </c>
      <c r="F91" s="2" t="s">
        <v>15</v>
      </c>
      <c r="G91" s="2" t="s">
        <v>21</v>
      </c>
      <c r="H91" s="2" t="s">
        <v>22</v>
      </c>
      <c r="I91" s="14">
        <v>164.71</v>
      </c>
      <c r="J91" s="9">
        <v>2</v>
      </c>
      <c r="K91" s="7">
        <v>0.3</v>
      </c>
      <c r="L91" s="15">
        <v>-2.4</v>
      </c>
    </row>
    <row r="92" spans="1:12" x14ac:dyDescent="0.25">
      <c r="A92" s="2" t="s">
        <v>127</v>
      </c>
      <c r="B92" s="4">
        <v>45056</v>
      </c>
      <c r="C92" s="4">
        <v>45057</v>
      </c>
      <c r="D92" s="2" t="s">
        <v>13</v>
      </c>
      <c r="E92" s="2" t="s">
        <v>28</v>
      </c>
      <c r="F92" s="2" t="s">
        <v>15</v>
      </c>
      <c r="G92" s="2" t="s">
        <v>25</v>
      </c>
      <c r="H92" s="2" t="s">
        <v>17</v>
      </c>
      <c r="I92" s="14">
        <v>214.58</v>
      </c>
      <c r="J92" s="9">
        <v>8</v>
      </c>
      <c r="K92" s="7">
        <v>0.1</v>
      </c>
      <c r="L92" s="15">
        <v>15.22</v>
      </c>
    </row>
    <row r="93" spans="1:12" x14ac:dyDescent="0.25">
      <c r="A93" s="2" t="s">
        <v>128</v>
      </c>
      <c r="B93" s="4">
        <v>45216</v>
      </c>
      <c r="C93" s="4">
        <v>45218</v>
      </c>
      <c r="D93" s="2" t="s">
        <v>19</v>
      </c>
      <c r="E93" s="2" t="s">
        <v>14</v>
      </c>
      <c r="F93" s="2" t="s">
        <v>15</v>
      </c>
      <c r="G93" s="2" t="s">
        <v>25</v>
      </c>
      <c r="H93" s="2" t="s">
        <v>17</v>
      </c>
      <c r="I93" s="14">
        <v>800.36</v>
      </c>
      <c r="J93" s="9">
        <v>8</v>
      </c>
      <c r="K93" s="7">
        <v>0.15</v>
      </c>
      <c r="L93" s="15">
        <v>108.05</v>
      </c>
    </row>
    <row r="94" spans="1:12" x14ac:dyDescent="0.25">
      <c r="A94" s="2" t="s">
        <v>129</v>
      </c>
      <c r="B94" s="4">
        <v>45038</v>
      </c>
      <c r="C94" s="4">
        <v>45042</v>
      </c>
      <c r="D94" s="2" t="s">
        <v>13</v>
      </c>
      <c r="E94" s="2" t="s">
        <v>28</v>
      </c>
      <c r="F94" s="2" t="s">
        <v>15</v>
      </c>
      <c r="G94" s="2" t="s">
        <v>16</v>
      </c>
      <c r="H94" s="2" t="s">
        <v>17</v>
      </c>
      <c r="I94" s="14">
        <v>524.28</v>
      </c>
      <c r="J94" s="9">
        <v>10</v>
      </c>
      <c r="K94" s="7">
        <v>0.3</v>
      </c>
      <c r="L94" s="15">
        <v>95.59</v>
      </c>
    </row>
    <row r="95" spans="1:12" x14ac:dyDescent="0.25">
      <c r="A95" s="2" t="s">
        <v>130</v>
      </c>
      <c r="B95" s="4">
        <v>45141</v>
      </c>
      <c r="C95" s="4">
        <v>45144</v>
      </c>
      <c r="D95" s="2" t="s">
        <v>19</v>
      </c>
      <c r="E95" s="2" t="s">
        <v>24</v>
      </c>
      <c r="F95" s="2" t="s">
        <v>32</v>
      </c>
      <c r="G95" s="2" t="s">
        <v>33</v>
      </c>
      <c r="H95" s="2" t="s">
        <v>40</v>
      </c>
      <c r="I95" s="14">
        <v>961.93</v>
      </c>
      <c r="J95" s="9">
        <v>4</v>
      </c>
      <c r="K95" s="7">
        <v>0.1</v>
      </c>
      <c r="L95" s="15">
        <v>197.86</v>
      </c>
    </row>
    <row r="96" spans="1:12" x14ac:dyDescent="0.25">
      <c r="A96" s="2" t="s">
        <v>131</v>
      </c>
      <c r="B96" s="4">
        <v>44942</v>
      </c>
      <c r="C96" s="4">
        <v>44946</v>
      </c>
      <c r="D96" s="2" t="s">
        <v>13</v>
      </c>
      <c r="E96" s="2" t="s">
        <v>43</v>
      </c>
      <c r="F96" s="2" t="s">
        <v>35</v>
      </c>
      <c r="G96" s="2" t="s">
        <v>62</v>
      </c>
      <c r="H96" s="2" t="s">
        <v>22</v>
      </c>
      <c r="I96" s="14">
        <v>862.05</v>
      </c>
      <c r="J96" s="9">
        <v>9</v>
      </c>
      <c r="K96" s="7">
        <v>0.3</v>
      </c>
      <c r="L96" s="15">
        <v>43.86</v>
      </c>
    </row>
    <row r="97" spans="1:12" x14ac:dyDescent="0.25">
      <c r="A97" s="2" t="s">
        <v>132</v>
      </c>
      <c r="B97" s="4">
        <v>45148</v>
      </c>
      <c r="C97" s="4">
        <v>45151</v>
      </c>
      <c r="D97" s="2" t="s">
        <v>19</v>
      </c>
      <c r="E97" s="2" t="s">
        <v>43</v>
      </c>
      <c r="F97" s="2" t="s">
        <v>32</v>
      </c>
      <c r="G97" s="2" t="s">
        <v>33</v>
      </c>
      <c r="H97" s="2" t="s">
        <v>22</v>
      </c>
      <c r="I97" s="14">
        <v>630.61</v>
      </c>
      <c r="J97" s="9">
        <v>8</v>
      </c>
      <c r="K97" s="7">
        <v>0</v>
      </c>
      <c r="L97" s="15">
        <v>119.38</v>
      </c>
    </row>
    <row r="98" spans="1:12" x14ac:dyDescent="0.25">
      <c r="A98" s="2" t="s">
        <v>133</v>
      </c>
      <c r="B98" s="4">
        <v>45118</v>
      </c>
      <c r="C98" s="4">
        <v>45123</v>
      </c>
      <c r="D98" s="2" t="s">
        <v>19</v>
      </c>
      <c r="E98" s="2" t="s">
        <v>24</v>
      </c>
      <c r="F98" s="2" t="s">
        <v>15</v>
      </c>
      <c r="G98" s="2" t="s">
        <v>25</v>
      </c>
      <c r="H98" s="2" t="s">
        <v>40</v>
      </c>
      <c r="I98" s="14">
        <v>30.93</v>
      </c>
      <c r="J98" s="9">
        <v>1</v>
      </c>
      <c r="K98" s="7">
        <v>0.1</v>
      </c>
      <c r="L98" s="15">
        <v>2.08</v>
      </c>
    </row>
    <row r="99" spans="1:12" x14ac:dyDescent="0.25">
      <c r="A99" s="2" t="s">
        <v>134</v>
      </c>
      <c r="B99" s="4">
        <v>45263</v>
      </c>
      <c r="C99" s="4">
        <v>45268</v>
      </c>
      <c r="D99" s="2" t="s">
        <v>30</v>
      </c>
      <c r="E99" s="2" t="s">
        <v>28</v>
      </c>
      <c r="F99" s="2" t="s">
        <v>32</v>
      </c>
      <c r="G99" s="2" t="s">
        <v>39</v>
      </c>
      <c r="H99" s="2" t="s">
        <v>22</v>
      </c>
      <c r="I99" s="14">
        <v>440.91</v>
      </c>
      <c r="J99" s="9">
        <v>3</v>
      </c>
      <c r="K99" s="7">
        <v>0.3</v>
      </c>
      <c r="L99" s="15">
        <v>46.08</v>
      </c>
    </row>
    <row r="100" spans="1:12" x14ac:dyDescent="0.25">
      <c r="A100" s="2" t="s">
        <v>135</v>
      </c>
      <c r="B100" s="4">
        <v>44959</v>
      </c>
      <c r="C100" s="4">
        <v>44962</v>
      </c>
      <c r="D100" s="2" t="s">
        <v>19</v>
      </c>
      <c r="E100" s="2" t="s">
        <v>43</v>
      </c>
      <c r="F100" s="2" t="s">
        <v>35</v>
      </c>
      <c r="G100" s="2" t="s">
        <v>62</v>
      </c>
      <c r="H100" s="2" t="s">
        <v>22</v>
      </c>
      <c r="I100" s="14">
        <v>554.35</v>
      </c>
      <c r="J100" s="9">
        <v>4</v>
      </c>
      <c r="K100" s="7">
        <v>0.15</v>
      </c>
      <c r="L100" s="15">
        <v>106.98</v>
      </c>
    </row>
    <row r="101" spans="1:12" x14ac:dyDescent="0.25">
      <c r="A101" s="2" t="s">
        <v>136</v>
      </c>
      <c r="B101" s="4">
        <v>45103</v>
      </c>
      <c r="C101" s="4">
        <v>45106</v>
      </c>
      <c r="D101" s="2" t="s">
        <v>30</v>
      </c>
      <c r="E101" s="2" t="s">
        <v>14</v>
      </c>
      <c r="F101" s="2" t="s">
        <v>15</v>
      </c>
      <c r="G101" s="2" t="s">
        <v>16</v>
      </c>
      <c r="H101" s="2" t="s">
        <v>40</v>
      </c>
      <c r="I101" s="14">
        <v>417.24</v>
      </c>
      <c r="J101" s="9">
        <v>5</v>
      </c>
      <c r="K101" s="7">
        <v>0</v>
      </c>
      <c r="L101" s="15">
        <v>22.91</v>
      </c>
    </row>
    <row r="102" spans="1:12" x14ac:dyDescent="0.25">
      <c r="A102" s="2" t="s">
        <v>137</v>
      </c>
      <c r="B102" s="4">
        <v>45084</v>
      </c>
      <c r="C102" s="4">
        <v>45087</v>
      </c>
      <c r="D102" s="2" t="s">
        <v>13</v>
      </c>
      <c r="E102" s="2" t="s">
        <v>49</v>
      </c>
      <c r="F102" s="2" t="s">
        <v>35</v>
      </c>
      <c r="G102" s="2" t="s">
        <v>36</v>
      </c>
      <c r="H102" s="2" t="s">
        <v>40</v>
      </c>
      <c r="I102" s="14">
        <v>975.19</v>
      </c>
      <c r="J102" s="9">
        <v>6</v>
      </c>
      <c r="K102" s="7">
        <v>0</v>
      </c>
      <c r="L102" s="15">
        <v>193.75</v>
      </c>
    </row>
    <row r="103" spans="1:12" x14ac:dyDescent="0.25">
      <c r="A103" s="2" t="s">
        <v>138</v>
      </c>
      <c r="B103" s="4">
        <v>45222</v>
      </c>
      <c r="C103" s="4">
        <v>45226</v>
      </c>
      <c r="D103" s="2" t="s">
        <v>30</v>
      </c>
      <c r="E103" s="2" t="s">
        <v>28</v>
      </c>
      <c r="F103" s="2" t="s">
        <v>15</v>
      </c>
      <c r="G103" s="2" t="s">
        <v>21</v>
      </c>
      <c r="H103" s="2" t="s">
        <v>17</v>
      </c>
      <c r="I103" s="14">
        <v>36.43</v>
      </c>
      <c r="J103" s="9">
        <v>5</v>
      </c>
      <c r="K103" s="7">
        <v>0.1</v>
      </c>
      <c r="L103" s="15">
        <v>-5.18</v>
      </c>
    </row>
    <row r="104" spans="1:12" x14ac:dyDescent="0.25">
      <c r="A104" s="2" t="s">
        <v>139</v>
      </c>
      <c r="B104" s="4">
        <v>45122</v>
      </c>
      <c r="C104" s="4">
        <v>45125</v>
      </c>
      <c r="D104" s="2" t="s">
        <v>27</v>
      </c>
      <c r="E104" s="2" t="s">
        <v>14</v>
      </c>
      <c r="F104" s="2" t="s">
        <v>35</v>
      </c>
      <c r="G104" s="2" t="s">
        <v>36</v>
      </c>
      <c r="H104" s="2" t="s">
        <v>40</v>
      </c>
      <c r="I104" s="14">
        <v>386.66</v>
      </c>
      <c r="J104" s="9">
        <v>10</v>
      </c>
      <c r="K104" s="7">
        <v>0</v>
      </c>
      <c r="L104" s="15">
        <v>12.25</v>
      </c>
    </row>
    <row r="105" spans="1:12" x14ac:dyDescent="0.25">
      <c r="A105" s="2" t="s">
        <v>140</v>
      </c>
      <c r="B105" s="4">
        <v>45014</v>
      </c>
      <c r="C105" s="4">
        <v>45018</v>
      </c>
      <c r="D105" s="2" t="s">
        <v>13</v>
      </c>
      <c r="E105" s="2" t="s">
        <v>20</v>
      </c>
      <c r="F105" s="2" t="s">
        <v>35</v>
      </c>
      <c r="G105" s="2" t="s">
        <v>36</v>
      </c>
      <c r="H105" s="2" t="s">
        <v>22</v>
      </c>
      <c r="I105" s="14">
        <v>209.8</v>
      </c>
      <c r="J105" s="9">
        <v>10</v>
      </c>
      <c r="K105" s="7">
        <v>0.15</v>
      </c>
      <c r="L105" s="15">
        <v>41.26</v>
      </c>
    </row>
    <row r="106" spans="1:12" x14ac:dyDescent="0.25">
      <c r="A106" s="2" t="s">
        <v>141</v>
      </c>
      <c r="B106" s="4">
        <v>44975</v>
      </c>
      <c r="C106" s="4">
        <v>44982</v>
      </c>
      <c r="D106" s="2" t="s">
        <v>19</v>
      </c>
      <c r="E106" s="2" t="s">
        <v>28</v>
      </c>
      <c r="F106" s="2" t="s">
        <v>35</v>
      </c>
      <c r="G106" s="2" t="s">
        <v>62</v>
      </c>
      <c r="H106" s="2" t="s">
        <v>40</v>
      </c>
      <c r="I106" s="14">
        <v>945.08</v>
      </c>
      <c r="J106" s="9">
        <v>9</v>
      </c>
      <c r="K106" s="7">
        <v>0</v>
      </c>
      <c r="L106" s="15">
        <v>-175.5</v>
      </c>
    </row>
    <row r="107" spans="1:12" x14ac:dyDescent="0.25">
      <c r="A107" s="2" t="s">
        <v>142</v>
      </c>
      <c r="B107" s="4">
        <v>44985</v>
      </c>
      <c r="C107" s="4">
        <v>44986</v>
      </c>
      <c r="D107" s="2" t="s">
        <v>30</v>
      </c>
      <c r="E107" s="2" t="s">
        <v>28</v>
      </c>
      <c r="F107" s="2" t="s">
        <v>35</v>
      </c>
      <c r="G107" s="2" t="s">
        <v>62</v>
      </c>
      <c r="H107" s="2" t="s">
        <v>17</v>
      </c>
      <c r="I107" s="14">
        <v>512.29999999999995</v>
      </c>
      <c r="J107" s="9">
        <v>10</v>
      </c>
      <c r="K107" s="7">
        <v>0.3</v>
      </c>
      <c r="L107" s="15">
        <v>105.7</v>
      </c>
    </row>
    <row r="108" spans="1:12" x14ac:dyDescent="0.25">
      <c r="A108" s="2" t="s">
        <v>143</v>
      </c>
      <c r="B108" s="4">
        <v>44965</v>
      </c>
      <c r="C108" s="4">
        <v>44971</v>
      </c>
      <c r="D108" s="2" t="s">
        <v>13</v>
      </c>
      <c r="E108" s="2" t="s">
        <v>14</v>
      </c>
      <c r="F108" s="2" t="s">
        <v>35</v>
      </c>
      <c r="G108" s="2" t="s">
        <v>36</v>
      </c>
      <c r="H108" s="2" t="s">
        <v>40</v>
      </c>
      <c r="I108" s="14">
        <v>764.84</v>
      </c>
      <c r="J108" s="9">
        <v>7</v>
      </c>
      <c r="K108" s="7">
        <v>0.15</v>
      </c>
      <c r="L108" s="15">
        <v>-80.08</v>
      </c>
    </row>
    <row r="109" spans="1:12" x14ac:dyDescent="0.25">
      <c r="A109" s="2" t="s">
        <v>144</v>
      </c>
      <c r="B109" s="4">
        <v>45282</v>
      </c>
      <c r="C109" s="4">
        <v>45285</v>
      </c>
      <c r="D109" s="2" t="s">
        <v>13</v>
      </c>
      <c r="E109" s="2" t="s">
        <v>49</v>
      </c>
      <c r="F109" s="2" t="s">
        <v>15</v>
      </c>
      <c r="G109" s="2" t="s">
        <v>21</v>
      </c>
      <c r="H109" s="2" t="s">
        <v>17</v>
      </c>
      <c r="I109" s="14">
        <v>216.06</v>
      </c>
      <c r="J109" s="9">
        <v>8</v>
      </c>
      <c r="K109" s="7">
        <v>0</v>
      </c>
      <c r="L109" s="15">
        <v>-25.69</v>
      </c>
    </row>
    <row r="110" spans="1:12" x14ac:dyDescent="0.25">
      <c r="A110" s="2" t="s">
        <v>145</v>
      </c>
      <c r="B110" s="4">
        <v>45248</v>
      </c>
      <c r="C110" s="4">
        <v>45254</v>
      </c>
      <c r="D110" s="2" t="s">
        <v>30</v>
      </c>
      <c r="E110" s="2" t="s">
        <v>28</v>
      </c>
      <c r="F110" s="2" t="s">
        <v>32</v>
      </c>
      <c r="G110" s="2" t="s">
        <v>39</v>
      </c>
      <c r="H110" s="2" t="s">
        <v>17</v>
      </c>
      <c r="I110" s="14">
        <v>445.11</v>
      </c>
      <c r="J110" s="9">
        <v>6</v>
      </c>
      <c r="K110" s="7">
        <v>0.2</v>
      </c>
      <c r="L110" s="15">
        <v>-2.2000000000000002</v>
      </c>
    </row>
    <row r="111" spans="1:12" x14ac:dyDescent="0.25">
      <c r="A111" s="2" t="s">
        <v>146</v>
      </c>
      <c r="B111" s="4">
        <v>44955</v>
      </c>
      <c r="C111" s="4">
        <v>44956</v>
      </c>
      <c r="D111" s="2" t="s">
        <v>13</v>
      </c>
      <c r="E111" s="2" t="s">
        <v>20</v>
      </c>
      <c r="F111" s="2" t="s">
        <v>35</v>
      </c>
      <c r="G111" s="2" t="s">
        <v>46</v>
      </c>
      <c r="H111" s="2" t="s">
        <v>17</v>
      </c>
      <c r="I111" s="14">
        <v>663.11</v>
      </c>
      <c r="J111" s="9">
        <v>3</v>
      </c>
      <c r="K111" s="7">
        <v>0.15</v>
      </c>
      <c r="L111" s="15">
        <v>-65.81</v>
      </c>
    </row>
    <row r="112" spans="1:12" x14ac:dyDescent="0.25">
      <c r="A112" s="2" t="s">
        <v>147</v>
      </c>
      <c r="B112" s="4">
        <v>45189</v>
      </c>
      <c r="C112" s="4">
        <v>45192</v>
      </c>
      <c r="D112" s="2" t="s">
        <v>13</v>
      </c>
      <c r="E112" s="2" t="s">
        <v>24</v>
      </c>
      <c r="F112" s="2" t="s">
        <v>32</v>
      </c>
      <c r="G112" s="2" t="s">
        <v>33</v>
      </c>
      <c r="H112" s="2" t="s">
        <v>17</v>
      </c>
      <c r="I112" s="14">
        <v>150.33000000000001</v>
      </c>
      <c r="J112" s="9">
        <v>10</v>
      </c>
      <c r="K112" s="7">
        <v>0.3</v>
      </c>
      <c r="L112" s="15">
        <v>26.16</v>
      </c>
    </row>
    <row r="113" spans="1:12" x14ac:dyDescent="0.25">
      <c r="A113" s="2" t="s">
        <v>148</v>
      </c>
      <c r="B113" s="4">
        <v>45081</v>
      </c>
      <c r="C113" s="4">
        <v>45082</v>
      </c>
      <c r="D113" s="2" t="s">
        <v>30</v>
      </c>
      <c r="E113" s="2" t="s">
        <v>49</v>
      </c>
      <c r="F113" s="2" t="s">
        <v>35</v>
      </c>
      <c r="G113" s="2" t="s">
        <v>46</v>
      </c>
      <c r="H113" s="2" t="s">
        <v>22</v>
      </c>
      <c r="I113" s="14">
        <v>555.47</v>
      </c>
      <c r="J113" s="9">
        <v>4</v>
      </c>
      <c r="K113" s="7">
        <v>0.3</v>
      </c>
      <c r="L113" s="15">
        <v>-14.92</v>
      </c>
    </row>
    <row r="114" spans="1:12" x14ac:dyDescent="0.25">
      <c r="A114" s="2" t="s">
        <v>149</v>
      </c>
      <c r="B114" s="4">
        <v>45198</v>
      </c>
      <c r="C114" s="4">
        <v>45202</v>
      </c>
      <c r="D114" s="2" t="s">
        <v>19</v>
      </c>
      <c r="E114" s="2" t="s">
        <v>43</v>
      </c>
      <c r="F114" s="2" t="s">
        <v>15</v>
      </c>
      <c r="G114" s="2" t="s">
        <v>25</v>
      </c>
      <c r="H114" s="2" t="s">
        <v>22</v>
      </c>
      <c r="I114" s="14">
        <v>125.61</v>
      </c>
      <c r="J114" s="9">
        <v>3</v>
      </c>
      <c r="K114" s="7">
        <v>0</v>
      </c>
      <c r="L114" s="15">
        <v>-19.95</v>
      </c>
    </row>
    <row r="115" spans="1:12" x14ac:dyDescent="0.25">
      <c r="A115" s="2" t="s">
        <v>150</v>
      </c>
      <c r="B115" s="4">
        <v>45078</v>
      </c>
      <c r="C115" s="4">
        <v>45083</v>
      </c>
      <c r="D115" s="2" t="s">
        <v>13</v>
      </c>
      <c r="E115" s="2" t="s">
        <v>43</v>
      </c>
      <c r="F115" s="2" t="s">
        <v>32</v>
      </c>
      <c r="G115" s="2" t="s">
        <v>33</v>
      </c>
      <c r="H115" s="2" t="s">
        <v>22</v>
      </c>
      <c r="I115" s="14">
        <v>581.30999999999995</v>
      </c>
      <c r="J115" s="9">
        <v>4</v>
      </c>
      <c r="K115" s="7">
        <v>0.2</v>
      </c>
      <c r="L115" s="15">
        <v>-75.349999999999994</v>
      </c>
    </row>
    <row r="116" spans="1:12" x14ac:dyDescent="0.25">
      <c r="A116" s="2" t="s">
        <v>151</v>
      </c>
      <c r="B116" s="4">
        <v>45146</v>
      </c>
      <c r="C116" s="4">
        <v>45147</v>
      </c>
      <c r="D116" s="2" t="s">
        <v>19</v>
      </c>
      <c r="E116" s="2" t="s">
        <v>14</v>
      </c>
      <c r="F116" s="2" t="s">
        <v>32</v>
      </c>
      <c r="G116" s="2" t="s">
        <v>39</v>
      </c>
      <c r="H116" s="2" t="s">
        <v>40</v>
      </c>
      <c r="I116" s="14">
        <v>724.98</v>
      </c>
      <c r="J116" s="9">
        <v>5</v>
      </c>
      <c r="K116" s="7">
        <v>0.2</v>
      </c>
      <c r="L116" s="15">
        <v>66.03</v>
      </c>
    </row>
    <row r="117" spans="1:12" x14ac:dyDescent="0.25">
      <c r="A117" s="2" t="s">
        <v>152</v>
      </c>
      <c r="B117" s="4">
        <v>45287</v>
      </c>
      <c r="C117" s="4">
        <v>45290</v>
      </c>
      <c r="D117" s="2" t="s">
        <v>27</v>
      </c>
      <c r="E117" s="2" t="s">
        <v>20</v>
      </c>
      <c r="F117" s="2" t="s">
        <v>15</v>
      </c>
      <c r="G117" s="2" t="s">
        <v>25</v>
      </c>
      <c r="H117" s="2" t="s">
        <v>22</v>
      </c>
      <c r="I117" s="14">
        <v>221.24</v>
      </c>
      <c r="J117" s="9">
        <v>5</v>
      </c>
      <c r="K117" s="7">
        <v>0.3</v>
      </c>
      <c r="L117" s="15">
        <v>-30.2</v>
      </c>
    </row>
    <row r="118" spans="1:12" x14ac:dyDescent="0.25">
      <c r="A118" s="2" t="s">
        <v>153</v>
      </c>
      <c r="B118" s="4">
        <v>44978</v>
      </c>
      <c r="C118" s="4">
        <v>44983</v>
      </c>
      <c r="D118" s="2" t="s">
        <v>27</v>
      </c>
      <c r="E118" s="2" t="s">
        <v>24</v>
      </c>
      <c r="F118" s="2" t="s">
        <v>35</v>
      </c>
      <c r="G118" s="2" t="s">
        <v>36</v>
      </c>
      <c r="H118" s="2" t="s">
        <v>40</v>
      </c>
      <c r="I118" s="14">
        <v>467.42</v>
      </c>
      <c r="J118" s="9">
        <v>9</v>
      </c>
      <c r="K118" s="7">
        <v>0.3</v>
      </c>
      <c r="L118" s="15">
        <v>-49.15</v>
      </c>
    </row>
    <row r="119" spans="1:12" x14ac:dyDescent="0.25">
      <c r="A119" s="2" t="s">
        <v>154</v>
      </c>
      <c r="B119" s="4">
        <v>45198</v>
      </c>
      <c r="C119" s="4">
        <v>45204</v>
      </c>
      <c r="D119" s="2" t="s">
        <v>13</v>
      </c>
      <c r="E119" s="2" t="s">
        <v>43</v>
      </c>
      <c r="F119" s="2" t="s">
        <v>32</v>
      </c>
      <c r="G119" s="2" t="s">
        <v>39</v>
      </c>
      <c r="H119" s="2" t="s">
        <v>22</v>
      </c>
      <c r="I119" s="14">
        <v>817.27</v>
      </c>
      <c r="J119" s="9">
        <v>2</v>
      </c>
      <c r="K119" s="7">
        <v>0.1</v>
      </c>
      <c r="L119" s="15">
        <v>-107.89</v>
      </c>
    </row>
    <row r="120" spans="1:12" x14ac:dyDescent="0.25">
      <c r="A120" s="2" t="s">
        <v>155</v>
      </c>
      <c r="B120" s="4">
        <v>44980</v>
      </c>
      <c r="C120" s="4">
        <v>44985</v>
      </c>
      <c r="D120" s="2" t="s">
        <v>19</v>
      </c>
      <c r="E120" s="2" t="s">
        <v>14</v>
      </c>
      <c r="F120" s="2" t="s">
        <v>15</v>
      </c>
      <c r="G120" s="2" t="s">
        <v>25</v>
      </c>
      <c r="H120" s="2" t="s">
        <v>40</v>
      </c>
      <c r="I120" s="14">
        <v>203.45</v>
      </c>
      <c r="J120" s="9">
        <v>7</v>
      </c>
      <c r="K120" s="7">
        <v>0.15</v>
      </c>
      <c r="L120" s="15">
        <v>-6.16</v>
      </c>
    </row>
    <row r="121" spans="1:12" x14ac:dyDescent="0.25">
      <c r="A121" s="2" t="s">
        <v>156</v>
      </c>
      <c r="B121" s="4">
        <v>45000</v>
      </c>
      <c r="C121" s="4">
        <v>45002</v>
      </c>
      <c r="D121" s="2" t="s">
        <v>13</v>
      </c>
      <c r="E121" s="2" t="s">
        <v>49</v>
      </c>
      <c r="F121" s="2" t="s">
        <v>32</v>
      </c>
      <c r="G121" s="2" t="s">
        <v>33</v>
      </c>
      <c r="H121" s="2" t="s">
        <v>40</v>
      </c>
      <c r="I121" s="14">
        <v>904.42</v>
      </c>
      <c r="J121" s="9">
        <v>1</v>
      </c>
      <c r="K121" s="7">
        <v>0</v>
      </c>
      <c r="L121" s="15">
        <v>-84.74</v>
      </c>
    </row>
    <row r="122" spans="1:12" x14ac:dyDescent="0.25">
      <c r="A122" s="2" t="s">
        <v>157</v>
      </c>
      <c r="B122" s="4">
        <v>45258</v>
      </c>
      <c r="C122" s="4">
        <v>45264</v>
      </c>
      <c r="D122" s="2" t="s">
        <v>27</v>
      </c>
      <c r="E122" s="2" t="s">
        <v>43</v>
      </c>
      <c r="F122" s="2" t="s">
        <v>35</v>
      </c>
      <c r="G122" s="2" t="s">
        <v>62</v>
      </c>
      <c r="H122" s="2" t="s">
        <v>22</v>
      </c>
      <c r="I122" s="14">
        <v>320.44</v>
      </c>
      <c r="J122" s="9">
        <v>4</v>
      </c>
      <c r="K122" s="7">
        <v>0</v>
      </c>
      <c r="L122" s="15">
        <v>73.34</v>
      </c>
    </row>
    <row r="123" spans="1:12" x14ac:dyDescent="0.25">
      <c r="A123" s="2" t="s">
        <v>158</v>
      </c>
      <c r="B123" s="4">
        <v>45251</v>
      </c>
      <c r="C123" s="4">
        <v>45258</v>
      </c>
      <c r="D123" s="2" t="s">
        <v>27</v>
      </c>
      <c r="E123" s="2" t="s">
        <v>49</v>
      </c>
      <c r="F123" s="2" t="s">
        <v>32</v>
      </c>
      <c r="G123" s="2" t="s">
        <v>53</v>
      </c>
      <c r="H123" s="2" t="s">
        <v>17</v>
      </c>
      <c r="I123" s="14">
        <v>146.04</v>
      </c>
      <c r="J123" s="9">
        <v>6</v>
      </c>
      <c r="K123" s="7">
        <v>0.3</v>
      </c>
      <c r="L123" s="15">
        <v>13.21</v>
      </c>
    </row>
    <row r="124" spans="1:12" x14ac:dyDescent="0.25">
      <c r="A124" s="2" t="s">
        <v>159</v>
      </c>
      <c r="B124" s="4">
        <v>45087</v>
      </c>
      <c r="C124" s="4">
        <v>45091</v>
      </c>
      <c r="D124" s="2" t="s">
        <v>30</v>
      </c>
      <c r="E124" s="2" t="s">
        <v>28</v>
      </c>
      <c r="F124" s="2" t="s">
        <v>35</v>
      </c>
      <c r="G124" s="2" t="s">
        <v>36</v>
      </c>
      <c r="H124" s="2" t="s">
        <v>22</v>
      </c>
      <c r="I124" s="14">
        <v>721.34</v>
      </c>
      <c r="J124" s="9">
        <v>1</v>
      </c>
      <c r="K124" s="7">
        <v>0.15</v>
      </c>
      <c r="L124" s="15">
        <v>76.069999999999993</v>
      </c>
    </row>
    <row r="125" spans="1:12" x14ac:dyDescent="0.25">
      <c r="A125" s="2" t="s">
        <v>160</v>
      </c>
      <c r="B125" s="4">
        <v>45100</v>
      </c>
      <c r="C125" s="4">
        <v>45101</v>
      </c>
      <c r="D125" s="2" t="s">
        <v>30</v>
      </c>
      <c r="E125" s="2" t="s">
        <v>28</v>
      </c>
      <c r="F125" s="2" t="s">
        <v>32</v>
      </c>
      <c r="G125" s="2" t="s">
        <v>33</v>
      </c>
      <c r="H125" s="2" t="s">
        <v>40</v>
      </c>
      <c r="I125" s="14">
        <v>730.02</v>
      </c>
      <c r="J125" s="9">
        <v>4</v>
      </c>
      <c r="K125" s="7">
        <v>0.1</v>
      </c>
      <c r="L125" s="15">
        <v>-112.99</v>
      </c>
    </row>
    <row r="126" spans="1:12" x14ac:dyDescent="0.25">
      <c r="A126" s="2" t="s">
        <v>161</v>
      </c>
      <c r="B126" s="4">
        <v>44965</v>
      </c>
      <c r="C126" s="4">
        <v>44967</v>
      </c>
      <c r="D126" s="2" t="s">
        <v>30</v>
      </c>
      <c r="E126" s="2" t="s">
        <v>49</v>
      </c>
      <c r="F126" s="2" t="s">
        <v>35</v>
      </c>
      <c r="G126" s="2" t="s">
        <v>46</v>
      </c>
      <c r="H126" s="2" t="s">
        <v>17</v>
      </c>
      <c r="I126" s="14">
        <v>960.2</v>
      </c>
      <c r="J126" s="9">
        <v>6</v>
      </c>
      <c r="K126" s="7">
        <v>0.2</v>
      </c>
      <c r="L126" s="15">
        <v>144.69</v>
      </c>
    </row>
    <row r="127" spans="1:12" x14ac:dyDescent="0.25">
      <c r="A127" s="2" t="s">
        <v>162</v>
      </c>
      <c r="B127" s="4">
        <v>45110</v>
      </c>
      <c r="C127" s="4">
        <v>45116</v>
      </c>
      <c r="D127" s="2" t="s">
        <v>27</v>
      </c>
      <c r="E127" s="2" t="s">
        <v>20</v>
      </c>
      <c r="F127" s="2" t="s">
        <v>15</v>
      </c>
      <c r="G127" s="2" t="s">
        <v>16</v>
      </c>
      <c r="H127" s="2" t="s">
        <v>17</v>
      </c>
      <c r="I127" s="14">
        <v>65.66</v>
      </c>
      <c r="J127" s="9">
        <v>1</v>
      </c>
      <c r="K127" s="7">
        <v>0.3</v>
      </c>
      <c r="L127" s="15">
        <v>9.26</v>
      </c>
    </row>
    <row r="128" spans="1:12" x14ac:dyDescent="0.25">
      <c r="A128" s="2" t="s">
        <v>163</v>
      </c>
      <c r="B128" s="4">
        <v>45011</v>
      </c>
      <c r="C128" s="4">
        <v>45017</v>
      </c>
      <c r="D128" s="2" t="s">
        <v>19</v>
      </c>
      <c r="E128" s="2" t="s">
        <v>49</v>
      </c>
      <c r="F128" s="2" t="s">
        <v>15</v>
      </c>
      <c r="G128" s="2" t="s">
        <v>21</v>
      </c>
      <c r="H128" s="2" t="s">
        <v>40</v>
      </c>
      <c r="I128" s="14">
        <v>799.68</v>
      </c>
      <c r="J128" s="9">
        <v>2</v>
      </c>
      <c r="K128" s="7">
        <v>0.1</v>
      </c>
      <c r="L128" s="15">
        <v>-84.69</v>
      </c>
    </row>
    <row r="129" spans="1:12" x14ac:dyDescent="0.25">
      <c r="A129" s="2" t="s">
        <v>164</v>
      </c>
      <c r="B129" s="4">
        <v>45050</v>
      </c>
      <c r="C129" s="4">
        <v>45054</v>
      </c>
      <c r="D129" s="2" t="s">
        <v>13</v>
      </c>
      <c r="E129" s="2" t="s">
        <v>49</v>
      </c>
      <c r="F129" s="2" t="s">
        <v>32</v>
      </c>
      <c r="G129" s="2" t="s">
        <v>53</v>
      </c>
      <c r="H129" s="2" t="s">
        <v>22</v>
      </c>
      <c r="I129" s="14">
        <v>186.07</v>
      </c>
      <c r="J129" s="9">
        <v>7</v>
      </c>
      <c r="K129" s="7">
        <v>0</v>
      </c>
      <c r="L129" s="15">
        <v>48.08</v>
      </c>
    </row>
    <row r="130" spans="1:12" x14ac:dyDescent="0.25">
      <c r="A130" s="2" t="s">
        <v>165</v>
      </c>
      <c r="B130" s="4">
        <v>45149</v>
      </c>
      <c r="C130" s="4">
        <v>45151</v>
      </c>
      <c r="D130" s="2" t="s">
        <v>13</v>
      </c>
      <c r="E130" s="2" t="s">
        <v>28</v>
      </c>
      <c r="F130" s="2" t="s">
        <v>35</v>
      </c>
      <c r="G130" s="2" t="s">
        <v>36</v>
      </c>
      <c r="H130" s="2" t="s">
        <v>17</v>
      </c>
      <c r="I130" s="14">
        <v>919.35</v>
      </c>
      <c r="J130" s="9">
        <v>7</v>
      </c>
      <c r="K130" s="7">
        <v>0.2</v>
      </c>
      <c r="L130" s="15">
        <v>75.02</v>
      </c>
    </row>
    <row r="131" spans="1:12" x14ac:dyDescent="0.25">
      <c r="A131" s="2" t="s">
        <v>166</v>
      </c>
      <c r="B131" s="4">
        <v>45023</v>
      </c>
      <c r="C131" s="4">
        <v>45028</v>
      </c>
      <c r="D131" s="2" t="s">
        <v>27</v>
      </c>
      <c r="E131" s="2" t="s">
        <v>28</v>
      </c>
      <c r="F131" s="2" t="s">
        <v>35</v>
      </c>
      <c r="G131" s="2" t="s">
        <v>62</v>
      </c>
      <c r="H131" s="2" t="s">
        <v>17</v>
      </c>
      <c r="I131" s="14">
        <v>174.2</v>
      </c>
      <c r="J131" s="9">
        <v>9</v>
      </c>
      <c r="K131" s="7">
        <v>0.2</v>
      </c>
      <c r="L131" s="15">
        <v>17.510000000000002</v>
      </c>
    </row>
    <row r="132" spans="1:12" x14ac:dyDescent="0.25">
      <c r="A132" s="2" t="s">
        <v>167</v>
      </c>
      <c r="B132" s="4">
        <v>45046</v>
      </c>
      <c r="C132" s="4">
        <v>45053</v>
      </c>
      <c r="D132" s="2" t="s">
        <v>27</v>
      </c>
      <c r="E132" s="2" t="s">
        <v>20</v>
      </c>
      <c r="F132" s="2" t="s">
        <v>15</v>
      </c>
      <c r="G132" s="2" t="s">
        <v>16</v>
      </c>
      <c r="H132" s="2" t="s">
        <v>40</v>
      </c>
      <c r="I132" s="14">
        <v>870.55</v>
      </c>
      <c r="J132" s="9">
        <v>5</v>
      </c>
      <c r="K132" s="7">
        <v>0</v>
      </c>
      <c r="L132" s="15">
        <v>-158.91</v>
      </c>
    </row>
    <row r="133" spans="1:12" x14ac:dyDescent="0.25">
      <c r="A133" s="2" t="s">
        <v>168</v>
      </c>
      <c r="B133" s="4">
        <v>44935</v>
      </c>
      <c r="C133" s="4">
        <v>44938</v>
      </c>
      <c r="D133" s="2" t="s">
        <v>13</v>
      </c>
      <c r="E133" s="2" t="s">
        <v>28</v>
      </c>
      <c r="F133" s="2" t="s">
        <v>15</v>
      </c>
      <c r="G133" s="2" t="s">
        <v>21</v>
      </c>
      <c r="H133" s="2" t="s">
        <v>22</v>
      </c>
      <c r="I133" s="14">
        <v>297.77</v>
      </c>
      <c r="J133" s="9">
        <v>10</v>
      </c>
      <c r="K133" s="7">
        <v>0.1</v>
      </c>
      <c r="L133" s="15">
        <v>42.36</v>
      </c>
    </row>
    <row r="134" spans="1:12" x14ac:dyDescent="0.25">
      <c r="A134" s="2" t="s">
        <v>169</v>
      </c>
      <c r="B134" s="4">
        <v>45108</v>
      </c>
      <c r="C134" s="4">
        <v>45115</v>
      </c>
      <c r="D134" s="2" t="s">
        <v>19</v>
      </c>
      <c r="E134" s="2" t="s">
        <v>24</v>
      </c>
      <c r="F134" s="2" t="s">
        <v>15</v>
      </c>
      <c r="G134" s="2" t="s">
        <v>16</v>
      </c>
      <c r="H134" s="2" t="s">
        <v>40</v>
      </c>
      <c r="I134" s="14">
        <v>740.69</v>
      </c>
      <c r="J134" s="9">
        <v>10</v>
      </c>
      <c r="K134" s="7">
        <v>0.1</v>
      </c>
      <c r="L134" s="15">
        <v>88.25</v>
      </c>
    </row>
    <row r="135" spans="1:12" x14ac:dyDescent="0.25">
      <c r="A135" s="2" t="s">
        <v>170</v>
      </c>
      <c r="B135" s="4">
        <v>45153</v>
      </c>
      <c r="C135" s="4">
        <v>45158</v>
      </c>
      <c r="D135" s="2" t="s">
        <v>30</v>
      </c>
      <c r="E135" s="2" t="s">
        <v>49</v>
      </c>
      <c r="F135" s="2" t="s">
        <v>15</v>
      </c>
      <c r="G135" s="2" t="s">
        <v>21</v>
      </c>
      <c r="H135" s="2" t="s">
        <v>22</v>
      </c>
      <c r="I135" s="14">
        <v>224.06</v>
      </c>
      <c r="J135" s="9">
        <v>6</v>
      </c>
      <c r="K135" s="7">
        <v>0.2</v>
      </c>
      <c r="L135" s="15">
        <v>27.16</v>
      </c>
    </row>
    <row r="136" spans="1:12" x14ac:dyDescent="0.25">
      <c r="A136" s="2" t="s">
        <v>171</v>
      </c>
      <c r="B136" s="4">
        <v>44996</v>
      </c>
      <c r="C136" s="4">
        <v>44998</v>
      </c>
      <c r="D136" s="2" t="s">
        <v>19</v>
      </c>
      <c r="E136" s="2" t="s">
        <v>49</v>
      </c>
      <c r="F136" s="2" t="s">
        <v>15</v>
      </c>
      <c r="G136" s="2" t="s">
        <v>25</v>
      </c>
      <c r="H136" s="2" t="s">
        <v>22</v>
      </c>
      <c r="I136" s="14">
        <v>696.93</v>
      </c>
      <c r="J136" s="9">
        <v>6</v>
      </c>
      <c r="K136" s="7">
        <v>0.3</v>
      </c>
      <c r="L136" s="15">
        <v>145.88</v>
      </c>
    </row>
    <row r="137" spans="1:12" x14ac:dyDescent="0.25">
      <c r="A137" s="2" t="s">
        <v>172</v>
      </c>
      <c r="B137" s="4">
        <v>45252</v>
      </c>
      <c r="C137" s="4">
        <v>45259</v>
      </c>
      <c r="D137" s="2" t="s">
        <v>27</v>
      </c>
      <c r="E137" s="2" t="s">
        <v>49</v>
      </c>
      <c r="F137" s="2" t="s">
        <v>32</v>
      </c>
      <c r="G137" s="2" t="s">
        <v>33</v>
      </c>
      <c r="H137" s="2" t="s">
        <v>17</v>
      </c>
      <c r="I137" s="14">
        <v>577.44000000000005</v>
      </c>
      <c r="J137" s="9">
        <v>7</v>
      </c>
      <c r="K137" s="7">
        <v>0.1</v>
      </c>
      <c r="L137" s="15">
        <v>-56.7</v>
      </c>
    </row>
    <row r="138" spans="1:12" x14ac:dyDescent="0.25">
      <c r="A138" s="2" t="s">
        <v>173</v>
      </c>
      <c r="B138" s="4">
        <v>45269</v>
      </c>
      <c r="C138" s="4">
        <v>45273</v>
      </c>
      <c r="D138" s="2" t="s">
        <v>19</v>
      </c>
      <c r="E138" s="2" t="s">
        <v>20</v>
      </c>
      <c r="F138" s="2" t="s">
        <v>15</v>
      </c>
      <c r="G138" s="2" t="s">
        <v>21</v>
      </c>
      <c r="H138" s="2" t="s">
        <v>22</v>
      </c>
      <c r="I138" s="14">
        <v>246.43</v>
      </c>
      <c r="J138" s="9">
        <v>3</v>
      </c>
      <c r="K138" s="7">
        <v>0.3</v>
      </c>
      <c r="L138" s="15">
        <v>6.39</v>
      </c>
    </row>
    <row r="139" spans="1:12" x14ac:dyDescent="0.25">
      <c r="A139" s="2" t="s">
        <v>174</v>
      </c>
      <c r="B139" s="4">
        <v>45114</v>
      </c>
      <c r="C139" s="4">
        <v>45117</v>
      </c>
      <c r="D139" s="2" t="s">
        <v>30</v>
      </c>
      <c r="E139" s="2" t="s">
        <v>28</v>
      </c>
      <c r="F139" s="2" t="s">
        <v>35</v>
      </c>
      <c r="G139" s="2" t="s">
        <v>46</v>
      </c>
      <c r="H139" s="2" t="s">
        <v>22</v>
      </c>
      <c r="I139" s="14">
        <v>493.87</v>
      </c>
      <c r="J139" s="9">
        <v>1</v>
      </c>
      <c r="K139" s="7">
        <v>0.2</v>
      </c>
      <c r="L139" s="15">
        <v>37.840000000000003</v>
      </c>
    </row>
    <row r="140" spans="1:12" x14ac:dyDescent="0.25">
      <c r="A140" s="2" t="s">
        <v>175</v>
      </c>
      <c r="B140" s="4">
        <v>45287</v>
      </c>
      <c r="C140" s="4">
        <v>45291</v>
      </c>
      <c r="D140" s="2" t="s">
        <v>30</v>
      </c>
      <c r="E140" s="2" t="s">
        <v>49</v>
      </c>
      <c r="F140" s="2" t="s">
        <v>32</v>
      </c>
      <c r="G140" s="2" t="s">
        <v>39</v>
      </c>
      <c r="H140" s="2" t="s">
        <v>17</v>
      </c>
      <c r="I140" s="14">
        <v>733.41</v>
      </c>
      <c r="J140" s="9">
        <v>7</v>
      </c>
      <c r="K140" s="7">
        <v>0.15</v>
      </c>
      <c r="L140" s="15">
        <v>-26.63</v>
      </c>
    </row>
    <row r="141" spans="1:12" x14ac:dyDescent="0.25">
      <c r="A141" s="2" t="s">
        <v>176</v>
      </c>
      <c r="B141" s="4">
        <v>45245</v>
      </c>
      <c r="C141" s="4">
        <v>45249</v>
      </c>
      <c r="D141" s="2" t="s">
        <v>19</v>
      </c>
      <c r="E141" s="2" t="s">
        <v>14</v>
      </c>
      <c r="F141" s="2" t="s">
        <v>32</v>
      </c>
      <c r="G141" s="2" t="s">
        <v>53</v>
      </c>
      <c r="H141" s="2" t="s">
        <v>40</v>
      </c>
      <c r="I141" s="14">
        <v>738.99</v>
      </c>
      <c r="J141" s="9">
        <v>1</v>
      </c>
      <c r="K141" s="7">
        <v>0.1</v>
      </c>
      <c r="L141" s="15">
        <v>35.03</v>
      </c>
    </row>
    <row r="142" spans="1:12" x14ac:dyDescent="0.25">
      <c r="A142" s="2" t="s">
        <v>177</v>
      </c>
      <c r="B142" s="4">
        <v>44928</v>
      </c>
      <c r="C142" s="4">
        <v>44933</v>
      </c>
      <c r="D142" s="2" t="s">
        <v>27</v>
      </c>
      <c r="E142" s="2" t="s">
        <v>20</v>
      </c>
      <c r="F142" s="2" t="s">
        <v>15</v>
      </c>
      <c r="G142" s="2" t="s">
        <v>21</v>
      </c>
      <c r="H142" s="2" t="s">
        <v>17</v>
      </c>
      <c r="I142" s="14">
        <v>133.25</v>
      </c>
      <c r="J142" s="9">
        <v>7</v>
      </c>
      <c r="K142" s="7">
        <v>0.3</v>
      </c>
      <c r="L142" s="15">
        <v>-4.1500000000000004</v>
      </c>
    </row>
    <row r="143" spans="1:12" x14ac:dyDescent="0.25">
      <c r="A143" s="2" t="s">
        <v>178</v>
      </c>
      <c r="B143" s="4">
        <v>45153</v>
      </c>
      <c r="C143" s="4">
        <v>45160</v>
      </c>
      <c r="D143" s="2" t="s">
        <v>19</v>
      </c>
      <c r="E143" s="2" t="s">
        <v>43</v>
      </c>
      <c r="F143" s="2" t="s">
        <v>32</v>
      </c>
      <c r="G143" s="2" t="s">
        <v>39</v>
      </c>
      <c r="H143" s="2" t="s">
        <v>17</v>
      </c>
      <c r="I143" s="14">
        <v>493.36</v>
      </c>
      <c r="J143" s="9">
        <v>7</v>
      </c>
      <c r="K143" s="7">
        <v>0.3</v>
      </c>
      <c r="L143" s="15">
        <v>-13.47</v>
      </c>
    </row>
    <row r="144" spans="1:12" x14ac:dyDescent="0.25">
      <c r="A144" s="2" t="s">
        <v>179</v>
      </c>
      <c r="B144" s="4">
        <v>45136</v>
      </c>
      <c r="C144" s="4">
        <v>45140</v>
      </c>
      <c r="D144" s="2" t="s">
        <v>30</v>
      </c>
      <c r="E144" s="2" t="s">
        <v>43</v>
      </c>
      <c r="F144" s="2" t="s">
        <v>15</v>
      </c>
      <c r="G144" s="2" t="s">
        <v>21</v>
      </c>
      <c r="H144" s="2" t="s">
        <v>40</v>
      </c>
      <c r="I144" s="14">
        <v>950.65</v>
      </c>
      <c r="J144" s="9">
        <v>4</v>
      </c>
      <c r="K144" s="7">
        <v>0.1</v>
      </c>
      <c r="L144" s="15">
        <v>234.04</v>
      </c>
    </row>
    <row r="145" spans="1:12" x14ac:dyDescent="0.25">
      <c r="A145" s="2" t="s">
        <v>180</v>
      </c>
      <c r="B145" s="4">
        <v>45097</v>
      </c>
      <c r="C145" s="4">
        <v>45100</v>
      </c>
      <c r="D145" s="2" t="s">
        <v>30</v>
      </c>
      <c r="E145" s="2" t="s">
        <v>20</v>
      </c>
      <c r="F145" s="2" t="s">
        <v>32</v>
      </c>
      <c r="G145" s="2" t="s">
        <v>39</v>
      </c>
      <c r="H145" s="2" t="s">
        <v>17</v>
      </c>
      <c r="I145" s="14">
        <v>642.66</v>
      </c>
      <c r="J145" s="9">
        <v>6</v>
      </c>
      <c r="K145" s="7">
        <v>0.15</v>
      </c>
      <c r="L145" s="15">
        <v>49.04</v>
      </c>
    </row>
    <row r="146" spans="1:12" hidden="1" x14ac:dyDescent="0.25">
      <c r="A146" s="2" t="s">
        <v>181</v>
      </c>
      <c r="B146" s="4">
        <v>45289</v>
      </c>
      <c r="C146" s="4">
        <v>45294</v>
      </c>
      <c r="D146" s="2" t="s">
        <v>30</v>
      </c>
      <c r="E146" s="2" t="s">
        <v>14</v>
      </c>
      <c r="F146" s="2" t="s">
        <v>32</v>
      </c>
      <c r="G146" s="2" t="s">
        <v>53</v>
      </c>
      <c r="H146" s="2" t="s">
        <v>17</v>
      </c>
      <c r="I146" s="5">
        <v>476.83</v>
      </c>
      <c r="J146" s="9">
        <v>1</v>
      </c>
      <c r="K146" s="7">
        <v>0.3</v>
      </c>
      <c r="L146" s="7">
        <v>-29.1</v>
      </c>
    </row>
    <row r="147" spans="1:12" x14ac:dyDescent="0.25">
      <c r="A147" s="2" t="s">
        <v>182</v>
      </c>
      <c r="B147" s="4">
        <v>45020</v>
      </c>
      <c r="C147" s="4">
        <v>45022</v>
      </c>
      <c r="D147" s="2" t="s">
        <v>19</v>
      </c>
      <c r="E147" s="2" t="s">
        <v>28</v>
      </c>
      <c r="F147" s="2" t="s">
        <v>35</v>
      </c>
      <c r="G147" s="2" t="s">
        <v>62</v>
      </c>
      <c r="H147" s="2" t="s">
        <v>40</v>
      </c>
      <c r="I147" s="14">
        <v>543.08000000000004</v>
      </c>
      <c r="J147" s="9">
        <v>1</v>
      </c>
      <c r="K147" s="7">
        <v>0</v>
      </c>
      <c r="L147" s="15">
        <v>-100.99</v>
      </c>
    </row>
    <row r="148" spans="1:12" x14ac:dyDescent="0.25">
      <c r="A148" s="2" t="s">
        <v>183</v>
      </c>
      <c r="B148" s="4">
        <v>45264</v>
      </c>
      <c r="C148" s="4">
        <v>45267</v>
      </c>
      <c r="D148" s="2" t="s">
        <v>30</v>
      </c>
      <c r="E148" s="2" t="s">
        <v>24</v>
      </c>
      <c r="F148" s="2" t="s">
        <v>32</v>
      </c>
      <c r="G148" s="2" t="s">
        <v>39</v>
      </c>
      <c r="H148" s="2" t="s">
        <v>17</v>
      </c>
      <c r="I148" s="14">
        <v>651.97</v>
      </c>
      <c r="J148" s="9">
        <v>9</v>
      </c>
      <c r="K148" s="7">
        <v>0</v>
      </c>
      <c r="L148" s="15">
        <v>-11.78</v>
      </c>
    </row>
    <row r="149" spans="1:12" x14ac:dyDescent="0.25">
      <c r="A149" s="2" t="s">
        <v>184</v>
      </c>
      <c r="B149" s="4">
        <v>45109</v>
      </c>
      <c r="C149" s="4">
        <v>45112</v>
      </c>
      <c r="D149" s="2" t="s">
        <v>19</v>
      </c>
      <c r="E149" s="2" t="s">
        <v>28</v>
      </c>
      <c r="F149" s="2" t="s">
        <v>32</v>
      </c>
      <c r="G149" s="2" t="s">
        <v>53</v>
      </c>
      <c r="H149" s="2" t="s">
        <v>17</v>
      </c>
      <c r="I149" s="14">
        <v>695.57</v>
      </c>
      <c r="J149" s="9">
        <v>2</v>
      </c>
      <c r="K149" s="7">
        <v>0.1</v>
      </c>
      <c r="L149" s="15">
        <v>45.9</v>
      </c>
    </row>
    <row r="150" spans="1:12" x14ac:dyDescent="0.25">
      <c r="A150" s="2" t="s">
        <v>185</v>
      </c>
      <c r="B150" s="4">
        <v>45176</v>
      </c>
      <c r="C150" s="4">
        <v>45183</v>
      </c>
      <c r="D150" s="2" t="s">
        <v>30</v>
      </c>
      <c r="E150" s="2" t="s">
        <v>20</v>
      </c>
      <c r="F150" s="2" t="s">
        <v>15</v>
      </c>
      <c r="G150" s="2" t="s">
        <v>21</v>
      </c>
      <c r="H150" s="2" t="s">
        <v>17</v>
      </c>
      <c r="I150" s="14">
        <v>874.04</v>
      </c>
      <c r="J150" s="9">
        <v>6</v>
      </c>
      <c r="K150" s="7">
        <v>0.2</v>
      </c>
      <c r="L150" s="15">
        <v>55.16</v>
      </c>
    </row>
    <row r="151" spans="1:12" x14ac:dyDescent="0.25">
      <c r="A151" s="2" t="s">
        <v>186</v>
      </c>
      <c r="B151" s="4">
        <v>45103</v>
      </c>
      <c r="C151" s="4">
        <v>45110</v>
      </c>
      <c r="D151" s="2" t="s">
        <v>27</v>
      </c>
      <c r="E151" s="2" t="s">
        <v>14</v>
      </c>
      <c r="F151" s="2" t="s">
        <v>15</v>
      </c>
      <c r="G151" s="2" t="s">
        <v>16</v>
      </c>
      <c r="H151" s="2" t="s">
        <v>17</v>
      </c>
      <c r="I151" s="14">
        <v>103.42</v>
      </c>
      <c r="J151" s="9">
        <v>3</v>
      </c>
      <c r="K151" s="7">
        <v>0</v>
      </c>
      <c r="L151" s="15">
        <v>29.75</v>
      </c>
    </row>
    <row r="152" spans="1:12" x14ac:dyDescent="0.25">
      <c r="A152" s="2" t="s">
        <v>187</v>
      </c>
      <c r="B152" s="4">
        <v>45226</v>
      </c>
      <c r="C152" s="4">
        <v>45232</v>
      </c>
      <c r="D152" s="2" t="s">
        <v>13</v>
      </c>
      <c r="E152" s="2" t="s">
        <v>14</v>
      </c>
      <c r="F152" s="2" t="s">
        <v>15</v>
      </c>
      <c r="G152" s="2" t="s">
        <v>25</v>
      </c>
      <c r="H152" s="2" t="s">
        <v>17</v>
      </c>
      <c r="I152" s="14">
        <v>533.66999999999996</v>
      </c>
      <c r="J152" s="9">
        <v>7</v>
      </c>
      <c r="K152" s="7">
        <v>0</v>
      </c>
      <c r="L152" s="15">
        <v>55.36</v>
      </c>
    </row>
    <row r="153" spans="1:12" x14ac:dyDescent="0.25">
      <c r="A153" s="2" t="s">
        <v>188</v>
      </c>
      <c r="B153" s="4">
        <v>45241</v>
      </c>
      <c r="C153" s="4">
        <v>45242</v>
      </c>
      <c r="D153" s="2" t="s">
        <v>30</v>
      </c>
      <c r="E153" s="2" t="s">
        <v>28</v>
      </c>
      <c r="F153" s="2" t="s">
        <v>32</v>
      </c>
      <c r="G153" s="2" t="s">
        <v>33</v>
      </c>
      <c r="H153" s="2" t="s">
        <v>22</v>
      </c>
      <c r="I153" s="14">
        <v>576.76</v>
      </c>
      <c r="J153" s="9">
        <v>5</v>
      </c>
      <c r="K153" s="7">
        <v>0.1</v>
      </c>
      <c r="L153" s="15">
        <v>103.22</v>
      </c>
    </row>
    <row r="154" spans="1:12" x14ac:dyDescent="0.25">
      <c r="A154" s="2" t="s">
        <v>189</v>
      </c>
      <c r="B154" s="4">
        <v>45102</v>
      </c>
      <c r="C154" s="4">
        <v>45108</v>
      </c>
      <c r="D154" s="2" t="s">
        <v>27</v>
      </c>
      <c r="E154" s="2" t="s">
        <v>20</v>
      </c>
      <c r="F154" s="2" t="s">
        <v>15</v>
      </c>
      <c r="G154" s="2" t="s">
        <v>16</v>
      </c>
      <c r="H154" s="2" t="s">
        <v>40</v>
      </c>
      <c r="I154" s="14">
        <v>418.14</v>
      </c>
      <c r="J154" s="9">
        <v>10</v>
      </c>
      <c r="K154" s="7">
        <v>0.15</v>
      </c>
      <c r="L154" s="15">
        <v>-59.68</v>
      </c>
    </row>
    <row r="155" spans="1:12" x14ac:dyDescent="0.25">
      <c r="A155" s="2" t="s">
        <v>190</v>
      </c>
      <c r="B155" s="4">
        <v>44986</v>
      </c>
      <c r="C155" s="4">
        <v>44987</v>
      </c>
      <c r="D155" s="2" t="s">
        <v>27</v>
      </c>
      <c r="E155" s="2" t="s">
        <v>14</v>
      </c>
      <c r="F155" s="2" t="s">
        <v>35</v>
      </c>
      <c r="G155" s="2" t="s">
        <v>46</v>
      </c>
      <c r="H155" s="2" t="s">
        <v>40</v>
      </c>
      <c r="I155" s="14">
        <v>74.599999999999994</v>
      </c>
      <c r="J155" s="9">
        <v>6</v>
      </c>
      <c r="K155" s="7">
        <v>0.2</v>
      </c>
      <c r="L155" s="15">
        <v>15.38</v>
      </c>
    </row>
    <row r="156" spans="1:12" x14ac:dyDescent="0.25">
      <c r="A156" s="2" t="s">
        <v>191</v>
      </c>
      <c r="B156" s="4">
        <v>45057</v>
      </c>
      <c r="C156" s="4">
        <v>45061</v>
      </c>
      <c r="D156" s="2" t="s">
        <v>27</v>
      </c>
      <c r="E156" s="2" t="s">
        <v>49</v>
      </c>
      <c r="F156" s="2" t="s">
        <v>35</v>
      </c>
      <c r="G156" s="2" t="s">
        <v>36</v>
      </c>
      <c r="H156" s="2" t="s">
        <v>40</v>
      </c>
      <c r="I156" s="14">
        <v>105.92</v>
      </c>
      <c r="J156" s="9">
        <v>8</v>
      </c>
      <c r="K156" s="7">
        <v>0.1</v>
      </c>
      <c r="L156" s="15">
        <v>23.46</v>
      </c>
    </row>
    <row r="157" spans="1:12" x14ac:dyDescent="0.25">
      <c r="A157" s="2" t="s">
        <v>192</v>
      </c>
      <c r="B157" s="4">
        <v>45012</v>
      </c>
      <c r="C157" s="4">
        <v>45018</v>
      </c>
      <c r="D157" s="2" t="s">
        <v>19</v>
      </c>
      <c r="E157" s="2" t="s">
        <v>20</v>
      </c>
      <c r="F157" s="2" t="s">
        <v>32</v>
      </c>
      <c r="G157" s="2" t="s">
        <v>53</v>
      </c>
      <c r="H157" s="2" t="s">
        <v>22</v>
      </c>
      <c r="I157" s="14">
        <v>432.03</v>
      </c>
      <c r="J157" s="9">
        <v>1</v>
      </c>
      <c r="K157" s="7">
        <v>0</v>
      </c>
      <c r="L157" s="15">
        <v>108.87</v>
      </c>
    </row>
    <row r="158" spans="1:12" x14ac:dyDescent="0.25">
      <c r="A158" s="2" t="s">
        <v>193</v>
      </c>
      <c r="B158" s="4">
        <v>45208</v>
      </c>
      <c r="C158" s="4">
        <v>45211</v>
      </c>
      <c r="D158" s="2" t="s">
        <v>19</v>
      </c>
      <c r="E158" s="2" t="s">
        <v>28</v>
      </c>
      <c r="F158" s="2" t="s">
        <v>32</v>
      </c>
      <c r="G158" s="2" t="s">
        <v>39</v>
      </c>
      <c r="H158" s="2" t="s">
        <v>22</v>
      </c>
      <c r="I158" s="14">
        <v>669.68</v>
      </c>
      <c r="J158" s="9">
        <v>5</v>
      </c>
      <c r="K158" s="7">
        <v>0.15</v>
      </c>
      <c r="L158" s="15">
        <v>-109.28</v>
      </c>
    </row>
    <row r="159" spans="1:12" x14ac:dyDescent="0.25">
      <c r="A159" s="2" t="s">
        <v>194</v>
      </c>
      <c r="B159" s="4">
        <v>45184</v>
      </c>
      <c r="C159" s="4">
        <v>45190</v>
      </c>
      <c r="D159" s="2" t="s">
        <v>27</v>
      </c>
      <c r="E159" s="2" t="s">
        <v>14</v>
      </c>
      <c r="F159" s="2" t="s">
        <v>35</v>
      </c>
      <c r="G159" s="2" t="s">
        <v>46</v>
      </c>
      <c r="H159" s="2" t="s">
        <v>17</v>
      </c>
      <c r="I159" s="14">
        <v>127.9</v>
      </c>
      <c r="J159" s="9">
        <v>3</v>
      </c>
      <c r="K159" s="7">
        <v>0.2</v>
      </c>
      <c r="L159" s="15">
        <v>-20.440000000000001</v>
      </c>
    </row>
    <row r="160" spans="1:12" x14ac:dyDescent="0.25">
      <c r="A160" s="2" t="s">
        <v>195</v>
      </c>
      <c r="B160" s="4">
        <v>45185</v>
      </c>
      <c r="C160" s="4">
        <v>45189</v>
      </c>
      <c r="D160" s="2" t="s">
        <v>19</v>
      </c>
      <c r="E160" s="2" t="s">
        <v>14</v>
      </c>
      <c r="F160" s="2" t="s">
        <v>35</v>
      </c>
      <c r="G160" s="2" t="s">
        <v>36</v>
      </c>
      <c r="H160" s="2" t="s">
        <v>40</v>
      </c>
      <c r="I160" s="14">
        <v>707.98</v>
      </c>
      <c r="J160" s="9">
        <v>4</v>
      </c>
      <c r="K160" s="7">
        <v>0.15</v>
      </c>
      <c r="L160" s="15">
        <v>170.27</v>
      </c>
    </row>
    <row r="161" spans="1:12" x14ac:dyDescent="0.25">
      <c r="A161" s="2" t="s">
        <v>196</v>
      </c>
      <c r="B161" s="4">
        <v>45226</v>
      </c>
      <c r="C161" s="4">
        <v>45229</v>
      </c>
      <c r="D161" s="2" t="s">
        <v>19</v>
      </c>
      <c r="E161" s="2" t="s">
        <v>20</v>
      </c>
      <c r="F161" s="2" t="s">
        <v>15</v>
      </c>
      <c r="G161" s="2" t="s">
        <v>21</v>
      </c>
      <c r="H161" s="2" t="s">
        <v>22</v>
      </c>
      <c r="I161" s="14">
        <v>739.37</v>
      </c>
      <c r="J161" s="9">
        <v>9</v>
      </c>
      <c r="K161" s="7">
        <v>0.2</v>
      </c>
      <c r="L161" s="15">
        <v>-28.43</v>
      </c>
    </row>
    <row r="162" spans="1:12" x14ac:dyDescent="0.25">
      <c r="A162" s="2" t="s">
        <v>197</v>
      </c>
      <c r="B162" s="4">
        <v>45117</v>
      </c>
      <c r="C162" s="4">
        <v>45120</v>
      </c>
      <c r="D162" s="2" t="s">
        <v>30</v>
      </c>
      <c r="E162" s="2" t="s">
        <v>14</v>
      </c>
      <c r="F162" s="2" t="s">
        <v>32</v>
      </c>
      <c r="G162" s="2" t="s">
        <v>33</v>
      </c>
      <c r="H162" s="2" t="s">
        <v>40</v>
      </c>
      <c r="I162" s="14">
        <v>820.88</v>
      </c>
      <c r="J162" s="9">
        <v>1</v>
      </c>
      <c r="K162" s="7">
        <v>0.1</v>
      </c>
      <c r="L162" s="15">
        <v>208.5</v>
      </c>
    </row>
    <row r="163" spans="1:12" x14ac:dyDescent="0.25">
      <c r="A163" s="2" t="s">
        <v>198</v>
      </c>
      <c r="B163" s="4">
        <v>45033</v>
      </c>
      <c r="C163" s="4">
        <v>45040</v>
      </c>
      <c r="D163" s="2" t="s">
        <v>30</v>
      </c>
      <c r="E163" s="2" t="s">
        <v>43</v>
      </c>
      <c r="F163" s="2" t="s">
        <v>35</v>
      </c>
      <c r="G163" s="2" t="s">
        <v>36</v>
      </c>
      <c r="H163" s="2" t="s">
        <v>22</v>
      </c>
      <c r="I163" s="14">
        <v>904.49</v>
      </c>
      <c r="J163" s="9">
        <v>4</v>
      </c>
      <c r="K163" s="7">
        <v>0.3</v>
      </c>
      <c r="L163" s="15">
        <v>113.03</v>
      </c>
    </row>
    <row r="164" spans="1:12" x14ac:dyDescent="0.25">
      <c r="A164" s="2" t="s">
        <v>199</v>
      </c>
      <c r="B164" s="4">
        <v>45259</v>
      </c>
      <c r="C164" s="4">
        <v>45263</v>
      </c>
      <c r="D164" s="2" t="s">
        <v>19</v>
      </c>
      <c r="E164" s="2" t="s">
        <v>28</v>
      </c>
      <c r="F164" s="2" t="s">
        <v>35</v>
      </c>
      <c r="G164" s="2" t="s">
        <v>62</v>
      </c>
      <c r="H164" s="2" t="s">
        <v>40</v>
      </c>
      <c r="I164" s="14">
        <v>861.05</v>
      </c>
      <c r="J164" s="9">
        <v>4</v>
      </c>
      <c r="K164" s="7">
        <v>0.3</v>
      </c>
      <c r="L164" s="15">
        <v>109.6</v>
      </c>
    </row>
    <row r="165" spans="1:12" x14ac:dyDescent="0.25">
      <c r="A165" s="2" t="s">
        <v>200</v>
      </c>
      <c r="B165" s="4">
        <v>45258</v>
      </c>
      <c r="C165" s="4">
        <v>45264</v>
      </c>
      <c r="D165" s="2" t="s">
        <v>27</v>
      </c>
      <c r="E165" s="2" t="s">
        <v>49</v>
      </c>
      <c r="F165" s="2" t="s">
        <v>15</v>
      </c>
      <c r="G165" s="2" t="s">
        <v>25</v>
      </c>
      <c r="H165" s="2" t="s">
        <v>17</v>
      </c>
      <c r="I165" s="14">
        <v>775.38</v>
      </c>
      <c r="J165" s="9">
        <v>3</v>
      </c>
      <c r="K165" s="7">
        <v>0.3</v>
      </c>
      <c r="L165" s="15">
        <v>-68.66</v>
      </c>
    </row>
    <row r="166" spans="1:12" x14ac:dyDescent="0.25">
      <c r="A166" s="2" t="s">
        <v>201</v>
      </c>
      <c r="B166" s="4">
        <v>45085</v>
      </c>
      <c r="C166" s="4">
        <v>45090</v>
      </c>
      <c r="D166" s="2" t="s">
        <v>19</v>
      </c>
      <c r="E166" s="2" t="s">
        <v>20</v>
      </c>
      <c r="F166" s="2" t="s">
        <v>32</v>
      </c>
      <c r="G166" s="2" t="s">
        <v>33</v>
      </c>
      <c r="H166" s="2" t="s">
        <v>22</v>
      </c>
      <c r="I166" s="14">
        <v>513.38</v>
      </c>
      <c r="J166" s="9">
        <v>8</v>
      </c>
      <c r="K166" s="7">
        <v>0</v>
      </c>
      <c r="L166" s="15">
        <v>105.08</v>
      </c>
    </row>
    <row r="167" spans="1:12" x14ac:dyDescent="0.25">
      <c r="A167" s="2" t="s">
        <v>202</v>
      </c>
      <c r="B167" s="4">
        <v>44967</v>
      </c>
      <c r="C167" s="4">
        <v>44972</v>
      </c>
      <c r="D167" s="2" t="s">
        <v>30</v>
      </c>
      <c r="E167" s="2" t="s">
        <v>24</v>
      </c>
      <c r="F167" s="2" t="s">
        <v>15</v>
      </c>
      <c r="G167" s="2" t="s">
        <v>21</v>
      </c>
      <c r="H167" s="2" t="s">
        <v>17</v>
      </c>
      <c r="I167" s="14">
        <v>165.22</v>
      </c>
      <c r="J167" s="9">
        <v>10</v>
      </c>
      <c r="K167" s="7">
        <v>0.1</v>
      </c>
      <c r="L167" s="15">
        <v>-27.93</v>
      </c>
    </row>
    <row r="168" spans="1:12" x14ac:dyDescent="0.25">
      <c r="A168" s="2" t="s">
        <v>203</v>
      </c>
      <c r="B168" s="4">
        <v>44956</v>
      </c>
      <c r="C168" s="4">
        <v>44957</v>
      </c>
      <c r="D168" s="2" t="s">
        <v>27</v>
      </c>
      <c r="E168" s="2" t="s">
        <v>43</v>
      </c>
      <c r="F168" s="2" t="s">
        <v>32</v>
      </c>
      <c r="G168" s="2" t="s">
        <v>33</v>
      </c>
      <c r="H168" s="2" t="s">
        <v>17</v>
      </c>
      <c r="I168" s="14">
        <v>616.16999999999996</v>
      </c>
      <c r="J168" s="9">
        <v>6</v>
      </c>
      <c r="K168" s="7">
        <v>0.1</v>
      </c>
      <c r="L168" s="15">
        <v>165.96</v>
      </c>
    </row>
    <row r="169" spans="1:12" x14ac:dyDescent="0.25">
      <c r="A169" s="2" t="s">
        <v>204</v>
      </c>
      <c r="B169" s="4">
        <v>45030</v>
      </c>
      <c r="C169" s="4">
        <v>45031</v>
      </c>
      <c r="D169" s="2" t="s">
        <v>13</v>
      </c>
      <c r="E169" s="2" t="s">
        <v>24</v>
      </c>
      <c r="F169" s="2" t="s">
        <v>32</v>
      </c>
      <c r="G169" s="2" t="s">
        <v>33</v>
      </c>
      <c r="H169" s="2" t="s">
        <v>17</v>
      </c>
      <c r="I169" s="14">
        <v>674.56</v>
      </c>
      <c r="J169" s="9">
        <v>1</v>
      </c>
      <c r="K169" s="7">
        <v>0.3</v>
      </c>
      <c r="L169" s="15">
        <v>102.86</v>
      </c>
    </row>
    <row r="170" spans="1:12" x14ac:dyDescent="0.25">
      <c r="A170" s="2" t="s">
        <v>205</v>
      </c>
      <c r="B170" s="4">
        <v>44946</v>
      </c>
      <c r="C170" s="4">
        <v>44950</v>
      </c>
      <c r="D170" s="2" t="s">
        <v>13</v>
      </c>
      <c r="E170" s="2" t="s">
        <v>43</v>
      </c>
      <c r="F170" s="2" t="s">
        <v>32</v>
      </c>
      <c r="G170" s="2" t="s">
        <v>53</v>
      </c>
      <c r="H170" s="2" t="s">
        <v>22</v>
      </c>
      <c r="I170" s="14">
        <v>855.59</v>
      </c>
      <c r="J170" s="9">
        <v>5</v>
      </c>
      <c r="K170" s="7">
        <v>0.3</v>
      </c>
      <c r="L170" s="15">
        <v>128.03</v>
      </c>
    </row>
    <row r="171" spans="1:12" x14ac:dyDescent="0.25">
      <c r="A171" s="2" t="s">
        <v>206</v>
      </c>
      <c r="B171" s="4">
        <v>44967</v>
      </c>
      <c r="C171" s="4">
        <v>44974</v>
      </c>
      <c r="D171" s="2" t="s">
        <v>27</v>
      </c>
      <c r="E171" s="2" t="s">
        <v>28</v>
      </c>
      <c r="F171" s="2" t="s">
        <v>35</v>
      </c>
      <c r="G171" s="2" t="s">
        <v>46</v>
      </c>
      <c r="H171" s="2" t="s">
        <v>17</v>
      </c>
      <c r="I171" s="14">
        <v>805.86</v>
      </c>
      <c r="J171" s="9">
        <v>8</v>
      </c>
      <c r="K171" s="7">
        <v>0.2</v>
      </c>
      <c r="L171" s="15">
        <v>-81.739999999999995</v>
      </c>
    </row>
    <row r="172" spans="1:12" x14ac:dyDescent="0.25">
      <c r="A172" s="2" t="s">
        <v>207</v>
      </c>
      <c r="B172" s="4">
        <v>45218</v>
      </c>
      <c r="C172" s="4">
        <v>45224</v>
      </c>
      <c r="D172" s="2" t="s">
        <v>13</v>
      </c>
      <c r="E172" s="2" t="s">
        <v>43</v>
      </c>
      <c r="F172" s="2" t="s">
        <v>35</v>
      </c>
      <c r="G172" s="2" t="s">
        <v>36</v>
      </c>
      <c r="H172" s="2" t="s">
        <v>17</v>
      </c>
      <c r="I172" s="14">
        <v>479.21</v>
      </c>
      <c r="J172" s="9">
        <v>4</v>
      </c>
      <c r="K172" s="7">
        <v>0.1</v>
      </c>
      <c r="L172" s="15">
        <v>12.5</v>
      </c>
    </row>
    <row r="173" spans="1:12" x14ac:dyDescent="0.25">
      <c r="A173" s="2" t="s">
        <v>208</v>
      </c>
      <c r="B173" s="4">
        <v>45139</v>
      </c>
      <c r="C173" s="4">
        <v>45140</v>
      </c>
      <c r="D173" s="2" t="s">
        <v>30</v>
      </c>
      <c r="E173" s="2" t="s">
        <v>49</v>
      </c>
      <c r="F173" s="2" t="s">
        <v>35</v>
      </c>
      <c r="G173" s="2" t="s">
        <v>62</v>
      </c>
      <c r="H173" s="2" t="s">
        <v>40</v>
      </c>
      <c r="I173" s="14">
        <v>417.74</v>
      </c>
      <c r="J173" s="9">
        <v>1</v>
      </c>
      <c r="K173" s="7">
        <v>0</v>
      </c>
      <c r="L173" s="15">
        <v>-14.07</v>
      </c>
    </row>
    <row r="174" spans="1:12" x14ac:dyDescent="0.25">
      <c r="A174" s="2" t="s">
        <v>209</v>
      </c>
      <c r="B174" s="4">
        <v>45251</v>
      </c>
      <c r="C174" s="4">
        <v>45254</v>
      </c>
      <c r="D174" s="2" t="s">
        <v>19</v>
      </c>
      <c r="E174" s="2" t="s">
        <v>24</v>
      </c>
      <c r="F174" s="2" t="s">
        <v>35</v>
      </c>
      <c r="G174" s="2" t="s">
        <v>62</v>
      </c>
      <c r="H174" s="2" t="s">
        <v>17</v>
      </c>
      <c r="I174" s="14">
        <v>931.66</v>
      </c>
      <c r="J174" s="9">
        <v>9</v>
      </c>
      <c r="K174" s="7">
        <v>0.2</v>
      </c>
      <c r="L174" s="15">
        <v>55.85</v>
      </c>
    </row>
    <row r="175" spans="1:12" x14ac:dyDescent="0.25">
      <c r="A175" s="2" t="s">
        <v>210</v>
      </c>
      <c r="B175" s="4">
        <v>45272</v>
      </c>
      <c r="C175" s="4">
        <v>45276</v>
      </c>
      <c r="D175" s="2" t="s">
        <v>27</v>
      </c>
      <c r="E175" s="2" t="s">
        <v>43</v>
      </c>
      <c r="F175" s="2" t="s">
        <v>35</v>
      </c>
      <c r="G175" s="2" t="s">
        <v>36</v>
      </c>
      <c r="H175" s="2" t="s">
        <v>22</v>
      </c>
      <c r="I175" s="14">
        <v>271.81</v>
      </c>
      <c r="J175" s="9">
        <v>4</v>
      </c>
      <c r="K175" s="7">
        <v>0.2</v>
      </c>
      <c r="L175" s="15">
        <v>19.8</v>
      </c>
    </row>
    <row r="176" spans="1:12" x14ac:dyDescent="0.25">
      <c r="A176" s="2" t="s">
        <v>211</v>
      </c>
      <c r="B176" s="4">
        <v>45145</v>
      </c>
      <c r="C176" s="4">
        <v>45150</v>
      </c>
      <c r="D176" s="2" t="s">
        <v>13</v>
      </c>
      <c r="E176" s="2" t="s">
        <v>20</v>
      </c>
      <c r="F176" s="2" t="s">
        <v>15</v>
      </c>
      <c r="G176" s="2" t="s">
        <v>16</v>
      </c>
      <c r="H176" s="2" t="s">
        <v>22</v>
      </c>
      <c r="I176" s="14">
        <v>567.67999999999995</v>
      </c>
      <c r="J176" s="9">
        <v>10</v>
      </c>
      <c r="K176" s="7">
        <v>0.3</v>
      </c>
      <c r="L176" s="15">
        <v>69.510000000000005</v>
      </c>
    </row>
    <row r="177" spans="1:12" x14ac:dyDescent="0.25">
      <c r="A177" s="2" t="s">
        <v>212</v>
      </c>
      <c r="B177" s="4">
        <v>45051</v>
      </c>
      <c r="C177" s="4">
        <v>45053</v>
      </c>
      <c r="D177" s="2" t="s">
        <v>19</v>
      </c>
      <c r="E177" s="2" t="s">
        <v>20</v>
      </c>
      <c r="F177" s="2" t="s">
        <v>15</v>
      </c>
      <c r="G177" s="2" t="s">
        <v>25</v>
      </c>
      <c r="H177" s="2" t="s">
        <v>40</v>
      </c>
      <c r="I177" s="14">
        <v>310.04000000000002</v>
      </c>
      <c r="J177" s="9">
        <v>3</v>
      </c>
      <c r="K177" s="7">
        <v>0</v>
      </c>
      <c r="L177" s="15">
        <v>39.25</v>
      </c>
    </row>
    <row r="178" spans="1:12" x14ac:dyDescent="0.25">
      <c r="A178" s="2" t="s">
        <v>213</v>
      </c>
      <c r="B178" s="4">
        <v>44982</v>
      </c>
      <c r="C178" s="4">
        <v>44985</v>
      </c>
      <c r="D178" s="2" t="s">
        <v>19</v>
      </c>
      <c r="E178" s="2" t="s">
        <v>14</v>
      </c>
      <c r="F178" s="2" t="s">
        <v>15</v>
      </c>
      <c r="G178" s="2" t="s">
        <v>25</v>
      </c>
      <c r="H178" s="2" t="s">
        <v>40</v>
      </c>
      <c r="I178" s="14">
        <v>750.2</v>
      </c>
      <c r="J178" s="9">
        <v>2</v>
      </c>
      <c r="K178" s="7">
        <v>0.1</v>
      </c>
      <c r="L178" s="15">
        <v>147.41</v>
      </c>
    </row>
    <row r="179" spans="1:12" x14ac:dyDescent="0.25">
      <c r="A179" s="2" t="s">
        <v>214</v>
      </c>
      <c r="B179" s="4">
        <v>45264</v>
      </c>
      <c r="C179" s="4">
        <v>45265</v>
      </c>
      <c r="D179" s="2" t="s">
        <v>19</v>
      </c>
      <c r="E179" s="2" t="s">
        <v>14</v>
      </c>
      <c r="F179" s="2" t="s">
        <v>32</v>
      </c>
      <c r="G179" s="2" t="s">
        <v>33</v>
      </c>
      <c r="H179" s="2" t="s">
        <v>17</v>
      </c>
      <c r="I179" s="14">
        <v>46.8</v>
      </c>
      <c r="J179" s="9">
        <v>7</v>
      </c>
      <c r="K179" s="7">
        <v>0.3</v>
      </c>
      <c r="L179" s="15">
        <v>-4.53</v>
      </c>
    </row>
    <row r="180" spans="1:12" x14ac:dyDescent="0.25">
      <c r="A180" s="2" t="s">
        <v>215</v>
      </c>
      <c r="B180" s="4">
        <v>45120</v>
      </c>
      <c r="C180" s="4">
        <v>45121</v>
      </c>
      <c r="D180" s="2" t="s">
        <v>19</v>
      </c>
      <c r="E180" s="2" t="s">
        <v>28</v>
      </c>
      <c r="F180" s="2" t="s">
        <v>15</v>
      </c>
      <c r="G180" s="2" t="s">
        <v>25</v>
      </c>
      <c r="H180" s="2" t="s">
        <v>17</v>
      </c>
      <c r="I180" s="14">
        <v>648.62</v>
      </c>
      <c r="J180" s="9">
        <v>9</v>
      </c>
      <c r="K180" s="7">
        <v>0</v>
      </c>
      <c r="L180" s="15">
        <v>-64.55</v>
      </c>
    </row>
    <row r="181" spans="1:12" hidden="1" x14ac:dyDescent="0.25">
      <c r="A181" s="2" t="s">
        <v>216</v>
      </c>
      <c r="B181" s="4">
        <v>45291</v>
      </c>
      <c r="C181" s="4">
        <v>45292</v>
      </c>
      <c r="D181" s="2" t="s">
        <v>13</v>
      </c>
      <c r="E181" s="2" t="s">
        <v>20</v>
      </c>
      <c r="F181" s="2" t="s">
        <v>15</v>
      </c>
      <c r="G181" s="2" t="s">
        <v>16</v>
      </c>
      <c r="H181" s="2" t="s">
        <v>22</v>
      </c>
      <c r="I181" s="5">
        <v>708.84</v>
      </c>
      <c r="J181" s="9">
        <v>3</v>
      </c>
      <c r="K181" s="7">
        <v>0.1</v>
      </c>
      <c r="L181" s="7">
        <v>60.65</v>
      </c>
    </row>
    <row r="182" spans="1:12" x14ac:dyDescent="0.25">
      <c r="A182" s="2" t="s">
        <v>217</v>
      </c>
      <c r="B182" s="4">
        <v>45157</v>
      </c>
      <c r="C182" s="4">
        <v>45164</v>
      </c>
      <c r="D182" s="2" t="s">
        <v>19</v>
      </c>
      <c r="E182" s="2" t="s">
        <v>14</v>
      </c>
      <c r="F182" s="2" t="s">
        <v>35</v>
      </c>
      <c r="G182" s="2" t="s">
        <v>36</v>
      </c>
      <c r="H182" s="2" t="s">
        <v>22</v>
      </c>
      <c r="I182" s="14">
        <v>159.82</v>
      </c>
      <c r="J182" s="9">
        <v>7</v>
      </c>
      <c r="K182" s="7">
        <v>0.3</v>
      </c>
      <c r="L182" s="15">
        <v>20.059999999999999</v>
      </c>
    </row>
    <row r="183" spans="1:12" hidden="1" x14ac:dyDescent="0.25">
      <c r="A183" s="2" t="s">
        <v>218</v>
      </c>
      <c r="B183" s="4">
        <v>45291</v>
      </c>
      <c r="C183" s="4">
        <v>45295</v>
      </c>
      <c r="D183" s="2" t="s">
        <v>30</v>
      </c>
      <c r="E183" s="2" t="s">
        <v>24</v>
      </c>
      <c r="F183" s="2" t="s">
        <v>15</v>
      </c>
      <c r="G183" s="2" t="s">
        <v>21</v>
      </c>
      <c r="H183" s="2" t="s">
        <v>40</v>
      </c>
      <c r="I183" s="5">
        <v>216.01</v>
      </c>
      <c r="J183" s="9">
        <v>3</v>
      </c>
      <c r="K183" s="7">
        <v>0.2</v>
      </c>
      <c r="L183" s="7">
        <v>51.3</v>
      </c>
    </row>
    <row r="184" spans="1:12" x14ac:dyDescent="0.25">
      <c r="A184" s="2" t="s">
        <v>219</v>
      </c>
      <c r="B184" s="4">
        <v>45092</v>
      </c>
      <c r="C184" s="4">
        <v>45095</v>
      </c>
      <c r="D184" s="2" t="s">
        <v>19</v>
      </c>
      <c r="E184" s="2" t="s">
        <v>14</v>
      </c>
      <c r="F184" s="2" t="s">
        <v>32</v>
      </c>
      <c r="G184" s="2" t="s">
        <v>39</v>
      </c>
      <c r="H184" s="2" t="s">
        <v>17</v>
      </c>
      <c r="I184" s="14">
        <v>591.41</v>
      </c>
      <c r="J184" s="9">
        <v>4</v>
      </c>
      <c r="K184" s="7">
        <v>0.3</v>
      </c>
      <c r="L184" s="15">
        <v>-71.33</v>
      </c>
    </row>
    <row r="185" spans="1:12" x14ac:dyDescent="0.25">
      <c r="A185" s="2" t="s">
        <v>220</v>
      </c>
      <c r="B185" s="4">
        <v>45258</v>
      </c>
      <c r="C185" s="4">
        <v>45265</v>
      </c>
      <c r="D185" s="2" t="s">
        <v>13</v>
      </c>
      <c r="E185" s="2" t="s">
        <v>28</v>
      </c>
      <c r="F185" s="2" t="s">
        <v>35</v>
      </c>
      <c r="G185" s="2" t="s">
        <v>36</v>
      </c>
      <c r="H185" s="2" t="s">
        <v>22</v>
      </c>
      <c r="I185" s="14">
        <v>93.44</v>
      </c>
      <c r="J185" s="9">
        <v>2</v>
      </c>
      <c r="K185" s="7">
        <v>0</v>
      </c>
      <c r="L185" s="15">
        <v>-13.69</v>
      </c>
    </row>
    <row r="186" spans="1:12" x14ac:dyDescent="0.25">
      <c r="A186" s="2" t="s">
        <v>221</v>
      </c>
      <c r="B186" s="4">
        <v>45106</v>
      </c>
      <c r="C186" s="4">
        <v>45107</v>
      </c>
      <c r="D186" s="2" t="s">
        <v>19</v>
      </c>
      <c r="E186" s="2" t="s">
        <v>20</v>
      </c>
      <c r="F186" s="2" t="s">
        <v>15</v>
      </c>
      <c r="G186" s="2" t="s">
        <v>25</v>
      </c>
      <c r="H186" s="2" t="s">
        <v>17</v>
      </c>
      <c r="I186" s="14">
        <v>606.49</v>
      </c>
      <c r="J186" s="9">
        <v>6</v>
      </c>
      <c r="K186" s="7">
        <v>0.2</v>
      </c>
      <c r="L186" s="15">
        <v>-91.42</v>
      </c>
    </row>
    <row r="187" spans="1:12" x14ac:dyDescent="0.25">
      <c r="A187" s="2" t="s">
        <v>222</v>
      </c>
      <c r="B187" s="4">
        <v>45241</v>
      </c>
      <c r="C187" s="4">
        <v>45244</v>
      </c>
      <c r="D187" s="2" t="s">
        <v>30</v>
      </c>
      <c r="E187" s="2" t="s">
        <v>14</v>
      </c>
      <c r="F187" s="2" t="s">
        <v>15</v>
      </c>
      <c r="G187" s="2" t="s">
        <v>21</v>
      </c>
      <c r="H187" s="2" t="s">
        <v>40</v>
      </c>
      <c r="I187" s="14">
        <v>846.11</v>
      </c>
      <c r="J187" s="9">
        <v>1</v>
      </c>
      <c r="K187" s="7">
        <v>0.3</v>
      </c>
      <c r="L187" s="15">
        <v>-69</v>
      </c>
    </row>
    <row r="188" spans="1:12" x14ac:dyDescent="0.25">
      <c r="A188" s="2" t="s">
        <v>223</v>
      </c>
      <c r="B188" s="4">
        <v>45285</v>
      </c>
      <c r="C188" s="4">
        <v>45290</v>
      </c>
      <c r="D188" s="2" t="s">
        <v>27</v>
      </c>
      <c r="E188" s="2" t="s">
        <v>49</v>
      </c>
      <c r="F188" s="2" t="s">
        <v>15</v>
      </c>
      <c r="G188" s="2" t="s">
        <v>21</v>
      </c>
      <c r="H188" s="2" t="s">
        <v>17</v>
      </c>
      <c r="I188" s="14">
        <v>788.81</v>
      </c>
      <c r="J188" s="9">
        <v>10</v>
      </c>
      <c r="K188" s="7">
        <v>0.3</v>
      </c>
      <c r="L188" s="15">
        <v>62.22</v>
      </c>
    </row>
    <row r="189" spans="1:12" x14ac:dyDescent="0.25">
      <c r="A189" s="2" t="s">
        <v>224</v>
      </c>
      <c r="B189" s="4">
        <v>45003</v>
      </c>
      <c r="C189" s="4">
        <v>45009</v>
      </c>
      <c r="D189" s="2" t="s">
        <v>30</v>
      </c>
      <c r="E189" s="2" t="s">
        <v>24</v>
      </c>
      <c r="F189" s="2" t="s">
        <v>35</v>
      </c>
      <c r="G189" s="2" t="s">
        <v>36</v>
      </c>
      <c r="H189" s="2" t="s">
        <v>22</v>
      </c>
      <c r="I189" s="14">
        <v>785.98</v>
      </c>
      <c r="J189" s="9">
        <v>7</v>
      </c>
      <c r="K189" s="7">
        <v>0.2</v>
      </c>
      <c r="L189" s="15">
        <v>-124.55</v>
      </c>
    </row>
    <row r="190" spans="1:12" x14ac:dyDescent="0.25">
      <c r="A190" s="2" t="s">
        <v>225</v>
      </c>
      <c r="B190" s="4">
        <v>45000</v>
      </c>
      <c r="C190" s="4">
        <v>45007</v>
      </c>
      <c r="D190" s="2" t="s">
        <v>13</v>
      </c>
      <c r="E190" s="2" t="s">
        <v>24</v>
      </c>
      <c r="F190" s="2" t="s">
        <v>32</v>
      </c>
      <c r="G190" s="2" t="s">
        <v>53</v>
      </c>
      <c r="H190" s="2" t="s">
        <v>17</v>
      </c>
      <c r="I190" s="14">
        <v>704.77</v>
      </c>
      <c r="J190" s="9">
        <v>1</v>
      </c>
      <c r="K190" s="7">
        <v>0.2</v>
      </c>
      <c r="L190" s="15">
        <v>126.72</v>
      </c>
    </row>
    <row r="191" spans="1:12" x14ac:dyDescent="0.25">
      <c r="A191" s="2" t="s">
        <v>226</v>
      </c>
      <c r="B191" s="4">
        <v>45087</v>
      </c>
      <c r="C191" s="4">
        <v>45091</v>
      </c>
      <c r="D191" s="2" t="s">
        <v>13</v>
      </c>
      <c r="E191" s="2" t="s">
        <v>43</v>
      </c>
      <c r="F191" s="2" t="s">
        <v>35</v>
      </c>
      <c r="G191" s="2" t="s">
        <v>46</v>
      </c>
      <c r="H191" s="2" t="s">
        <v>22</v>
      </c>
      <c r="I191" s="14">
        <v>901.7</v>
      </c>
      <c r="J191" s="9">
        <v>10</v>
      </c>
      <c r="K191" s="7">
        <v>0.1</v>
      </c>
      <c r="L191" s="15">
        <v>-82.97</v>
      </c>
    </row>
    <row r="192" spans="1:12" x14ac:dyDescent="0.25">
      <c r="A192" s="2" t="s">
        <v>227</v>
      </c>
      <c r="B192" s="4">
        <v>45205</v>
      </c>
      <c r="C192" s="4">
        <v>45209</v>
      </c>
      <c r="D192" s="2" t="s">
        <v>30</v>
      </c>
      <c r="E192" s="2" t="s">
        <v>14</v>
      </c>
      <c r="F192" s="2" t="s">
        <v>32</v>
      </c>
      <c r="G192" s="2" t="s">
        <v>33</v>
      </c>
      <c r="H192" s="2" t="s">
        <v>17</v>
      </c>
      <c r="I192" s="14">
        <v>174.54</v>
      </c>
      <c r="J192" s="9">
        <v>7</v>
      </c>
      <c r="K192" s="7">
        <v>0.3</v>
      </c>
      <c r="L192" s="15">
        <v>-10.119999999999999</v>
      </c>
    </row>
    <row r="193" spans="1:12" x14ac:dyDescent="0.25">
      <c r="A193" s="2" t="s">
        <v>228</v>
      </c>
      <c r="B193" s="4">
        <v>45241</v>
      </c>
      <c r="C193" s="4">
        <v>45247</v>
      </c>
      <c r="D193" s="2" t="s">
        <v>30</v>
      </c>
      <c r="E193" s="2" t="s">
        <v>20</v>
      </c>
      <c r="F193" s="2" t="s">
        <v>35</v>
      </c>
      <c r="G193" s="2" t="s">
        <v>46</v>
      </c>
      <c r="H193" s="2" t="s">
        <v>40</v>
      </c>
      <c r="I193" s="14">
        <v>888.74</v>
      </c>
      <c r="J193" s="9">
        <v>5</v>
      </c>
      <c r="K193" s="7">
        <v>0.1</v>
      </c>
      <c r="L193" s="15">
        <v>227.68</v>
      </c>
    </row>
    <row r="194" spans="1:12" x14ac:dyDescent="0.25">
      <c r="A194" s="2" t="s">
        <v>229</v>
      </c>
      <c r="B194" s="4">
        <v>44991</v>
      </c>
      <c r="C194" s="4">
        <v>44998</v>
      </c>
      <c r="D194" s="2" t="s">
        <v>13</v>
      </c>
      <c r="E194" s="2" t="s">
        <v>14</v>
      </c>
      <c r="F194" s="2" t="s">
        <v>32</v>
      </c>
      <c r="G194" s="2" t="s">
        <v>53</v>
      </c>
      <c r="H194" s="2" t="s">
        <v>40</v>
      </c>
      <c r="I194" s="14">
        <v>699.02</v>
      </c>
      <c r="J194" s="9">
        <v>1</v>
      </c>
      <c r="K194" s="7">
        <v>0</v>
      </c>
      <c r="L194" s="15">
        <v>167.7</v>
      </c>
    </row>
    <row r="195" spans="1:12" x14ac:dyDescent="0.25">
      <c r="A195" s="2" t="s">
        <v>230</v>
      </c>
      <c r="B195" s="4">
        <v>45226</v>
      </c>
      <c r="C195" s="4">
        <v>45231</v>
      </c>
      <c r="D195" s="2" t="s">
        <v>19</v>
      </c>
      <c r="E195" s="2" t="s">
        <v>20</v>
      </c>
      <c r="F195" s="2" t="s">
        <v>32</v>
      </c>
      <c r="G195" s="2" t="s">
        <v>33</v>
      </c>
      <c r="H195" s="2" t="s">
        <v>40</v>
      </c>
      <c r="I195" s="14">
        <v>51.56</v>
      </c>
      <c r="J195" s="9">
        <v>3</v>
      </c>
      <c r="K195" s="7">
        <v>0.1</v>
      </c>
      <c r="L195" s="15">
        <v>-1.27</v>
      </c>
    </row>
    <row r="196" spans="1:12" x14ac:dyDescent="0.25">
      <c r="A196" s="2" t="s">
        <v>231</v>
      </c>
      <c r="B196" s="4">
        <v>45064</v>
      </c>
      <c r="C196" s="4">
        <v>45066</v>
      </c>
      <c r="D196" s="2" t="s">
        <v>19</v>
      </c>
      <c r="E196" s="2" t="s">
        <v>14</v>
      </c>
      <c r="F196" s="2" t="s">
        <v>35</v>
      </c>
      <c r="G196" s="2" t="s">
        <v>36</v>
      </c>
      <c r="H196" s="2" t="s">
        <v>22</v>
      </c>
      <c r="I196" s="14">
        <v>728.64</v>
      </c>
      <c r="J196" s="9">
        <v>3</v>
      </c>
      <c r="K196" s="7">
        <v>0.2</v>
      </c>
      <c r="L196" s="15">
        <v>-36.35</v>
      </c>
    </row>
    <row r="197" spans="1:12" x14ac:dyDescent="0.25">
      <c r="A197" s="2" t="s">
        <v>232</v>
      </c>
      <c r="B197" s="4">
        <v>45075</v>
      </c>
      <c r="C197" s="4">
        <v>45081</v>
      </c>
      <c r="D197" s="2" t="s">
        <v>19</v>
      </c>
      <c r="E197" s="2" t="s">
        <v>49</v>
      </c>
      <c r="F197" s="2" t="s">
        <v>35</v>
      </c>
      <c r="G197" s="2" t="s">
        <v>36</v>
      </c>
      <c r="H197" s="2" t="s">
        <v>40</v>
      </c>
      <c r="I197" s="14">
        <v>536.03</v>
      </c>
      <c r="J197" s="9">
        <v>9</v>
      </c>
      <c r="K197" s="7">
        <v>0.1</v>
      </c>
      <c r="L197" s="15">
        <v>90.03</v>
      </c>
    </row>
    <row r="198" spans="1:12" x14ac:dyDescent="0.25">
      <c r="A198" s="2" t="s">
        <v>233</v>
      </c>
      <c r="B198" s="4">
        <v>44983</v>
      </c>
      <c r="C198" s="4">
        <v>44985</v>
      </c>
      <c r="D198" s="2" t="s">
        <v>27</v>
      </c>
      <c r="E198" s="2" t="s">
        <v>20</v>
      </c>
      <c r="F198" s="2" t="s">
        <v>15</v>
      </c>
      <c r="G198" s="2" t="s">
        <v>16</v>
      </c>
      <c r="H198" s="2" t="s">
        <v>22</v>
      </c>
      <c r="I198" s="14">
        <v>739.7</v>
      </c>
      <c r="J198" s="9">
        <v>3</v>
      </c>
      <c r="K198" s="7">
        <v>0.15</v>
      </c>
      <c r="L198" s="15">
        <v>-67.75</v>
      </c>
    </row>
    <row r="199" spans="1:12" x14ac:dyDescent="0.25">
      <c r="A199" s="2" t="s">
        <v>234</v>
      </c>
      <c r="B199" s="4">
        <v>45173</v>
      </c>
      <c r="C199" s="4">
        <v>45177</v>
      </c>
      <c r="D199" s="2" t="s">
        <v>19</v>
      </c>
      <c r="E199" s="2" t="s">
        <v>43</v>
      </c>
      <c r="F199" s="2" t="s">
        <v>32</v>
      </c>
      <c r="G199" s="2" t="s">
        <v>39</v>
      </c>
      <c r="H199" s="2" t="s">
        <v>40</v>
      </c>
      <c r="I199" s="14">
        <v>971.16</v>
      </c>
      <c r="J199" s="9">
        <v>4</v>
      </c>
      <c r="K199" s="7">
        <v>0.15</v>
      </c>
      <c r="L199" s="15">
        <v>-122.14</v>
      </c>
    </row>
    <row r="200" spans="1:12" x14ac:dyDescent="0.25">
      <c r="A200" s="2" t="s">
        <v>235</v>
      </c>
      <c r="B200" s="4">
        <v>45250</v>
      </c>
      <c r="C200" s="4">
        <v>45251</v>
      </c>
      <c r="D200" s="2" t="s">
        <v>30</v>
      </c>
      <c r="E200" s="2" t="s">
        <v>24</v>
      </c>
      <c r="F200" s="2" t="s">
        <v>35</v>
      </c>
      <c r="G200" s="2" t="s">
        <v>36</v>
      </c>
      <c r="H200" s="2" t="s">
        <v>17</v>
      </c>
      <c r="I200" s="14">
        <v>285.01</v>
      </c>
      <c r="J200" s="9">
        <v>6</v>
      </c>
      <c r="K200" s="7">
        <v>0</v>
      </c>
      <c r="L200" s="15">
        <v>-34.020000000000003</v>
      </c>
    </row>
    <row r="201" spans="1:12" x14ac:dyDescent="0.25">
      <c r="A201" s="2" t="s">
        <v>236</v>
      </c>
      <c r="B201" s="4">
        <v>45027</v>
      </c>
      <c r="C201" s="4">
        <v>45029</v>
      </c>
      <c r="D201" s="2" t="s">
        <v>13</v>
      </c>
      <c r="E201" s="2" t="s">
        <v>14</v>
      </c>
      <c r="F201" s="2" t="s">
        <v>32</v>
      </c>
      <c r="G201" s="2" t="s">
        <v>39</v>
      </c>
      <c r="H201" s="2" t="s">
        <v>22</v>
      </c>
      <c r="I201" s="14">
        <v>637.34</v>
      </c>
      <c r="J201" s="9">
        <v>5</v>
      </c>
      <c r="K201" s="7">
        <v>0.2</v>
      </c>
      <c r="L201" s="15">
        <v>-4.71</v>
      </c>
    </row>
    <row r="202" spans="1:12" x14ac:dyDescent="0.25">
      <c r="A202" s="2" t="s">
        <v>237</v>
      </c>
      <c r="B202" s="4">
        <v>45135</v>
      </c>
      <c r="C202" s="4">
        <v>45140</v>
      </c>
      <c r="D202" s="2" t="s">
        <v>30</v>
      </c>
      <c r="E202" s="2" t="s">
        <v>43</v>
      </c>
      <c r="F202" s="2" t="s">
        <v>35</v>
      </c>
      <c r="G202" s="2" t="s">
        <v>62</v>
      </c>
      <c r="H202" s="2" t="s">
        <v>22</v>
      </c>
      <c r="I202" s="14">
        <v>130.22999999999999</v>
      </c>
      <c r="J202" s="9">
        <v>3</v>
      </c>
      <c r="K202" s="7">
        <v>0.15</v>
      </c>
      <c r="L202" s="15">
        <v>-7.45</v>
      </c>
    </row>
    <row r="203" spans="1:12" x14ac:dyDescent="0.25">
      <c r="A203" s="2" t="s">
        <v>238</v>
      </c>
      <c r="B203" s="4">
        <v>45175</v>
      </c>
      <c r="C203" s="4">
        <v>45179</v>
      </c>
      <c r="D203" s="2" t="s">
        <v>27</v>
      </c>
      <c r="E203" s="2" t="s">
        <v>14</v>
      </c>
      <c r="F203" s="2" t="s">
        <v>15</v>
      </c>
      <c r="G203" s="2" t="s">
        <v>21</v>
      </c>
      <c r="H203" s="2" t="s">
        <v>40</v>
      </c>
      <c r="I203" s="14">
        <v>966.17</v>
      </c>
      <c r="J203" s="9">
        <v>4</v>
      </c>
      <c r="K203" s="7">
        <v>0.1</v>
      </c>
      <c r="L203" s="15">
        <v>138.33000000000001</v>
      </c>
    </row>
    <row r="204" spans="1:12" x14ac:dyDescent="0.25">
      <c r="A204" s="2" t="s">
        <v>239</v>
      </c>
      <c r="B204" s="4">
        <v>45014</v>
      </c>
      <c r="C204" s="4">
        <v>45019</v>
      </c>
      <c r="D204" s="2" t="s">
        <v>13</v>
      </c>
      <c r="E204" s="2" t="s">
        <v>43</v>
      </c>
      <c r="F204" s="2" t="s">
        <v>35</v>
      </c>
      <c r="G204" s="2" t="s">
        <v>36</v>
      </c>
      <c r="H204" s="2" t="s">
        <v>40</v>
      </c>
      <c r="I204" s="14">
        <v>404.88</v>
      </c>
      <c r="J204" s="9">
        <v>4</v>
      </c>
      <c r="K204" s="7">
        <v>0.15</v>
      </c>
      <c r="L204" s="15">
        <v>98.15</v>
      </c>
    </row>
    <row r="205" spans="1:12" x14ac:dyDescent="0.25">
      <c r="A205" s="2" t="s">
        <v>240</v>
      </c>
      <c r="B205" s="4">
        <v>45010</v>
      </c>
      <c r="C205" s="4">
        <v>45016</v>
      </c>
      <c r="D205" s="2" t="s">
        <v>19</v>
      </c>
      <c r="E205" s="2" t="s">
        <v>43</v>
      </c>
      <c r="F205" s="2" t="s">
        <v>35</v>
      </c>
      <c r="G205" s="2" t="s">
        <v>46</v>
      </c>
      <c r="H205" s="2" t="s">
        <v>22</v>
      </c>
      <c r="I205" s="14">
        <v>619.03</v>
      </c>
      <c r="J205" s="9">
        <v>6</v>
      </c>
      <c r="K205" s="7">
        <v>0.2</v>
      </c>
      <c r="L205" s="15">
        <v>-41.94</v>
      </c>
    </row>
    <row r="206" spans="1:12" x14ac:dyDescent="0.25">
      <c r="A206" s="2" t="s">
        <v>241</v>
      </c>
      <c r="B206" s="4">
        <v>45103</v>
      </c>
      <c r="C206" s="4">
        <v>45106</v>
      </c>
      <c r="D206" s="2" t="s">
        <v>27</v>
      </c>
      <c r="E206" s="2" t="s">
        <v>14</v>
      </c>
      <c r="F206" s="2" t="s">
        <v>15</v>
      </c>
      <c r="G206" s="2" t="s">
        <v>25</v>
      </c>
      <c r="H206" s="2" t="s">
        <v>17</v>
      </c>
      <c r="I206" s="14">
        <v>520.29</v>
      </c>
      <c r="J206" s="9">
        <v>9</v>
      </c>
      <c r="K206" s="7">
        <v>0.2</v>
      </c>
      <c r="L206" s="15">
        <v>-73.239999999999995</v>
      </c>
    </row>
    <row r="207" spans="1:12" x14ac:dyDescent="0.25">
      <c r="A207" s="2" t="s">
        <v>242</v>
      </c>
      <c r="B207" s="4">
        <v>44963</v>
      </c>
      <c r="C207" s="4">
        <v>44965</v>
      </c>
      <c r="D207" s="2" t="s">
        <v>13</v>
      </c>
      <c r="E207" s="2" t="s">
        <v>49</v>
      </c>
      <c r="F207" s="2" t="s">
        <v>32</v>
      </c>
      <c r="G207" s="2" t="s">
        <v>39</v>
      </c>
      <c r="H207" s="2" t="s">
        <v>40</v>
      </c>
      <c r="I207" s="14">
        <v>786.25</v>
      </c>
      <c r="J207" s="9">
        <v>6</v>
      </c>
      <c r="K207" s="7">
        <v>0</v>
      </c>
      <c r="L207" s="15">
        <v>-99.38</v>
      </c>
    </row>
    <row r="208" spans="1:12" x14ac:dyDescent="0.25">
      <c r="A208" s="2" t="s">
        <v>243</v>
      </c>
      <c r="B208" s="4">
        <v>45200</v>
      </c>
      <c r="C208" s="4">
        <v>45202</v>
      </c>
      <c r="D208" s="2" t="s">
        <v>30</v>
      </c>
      <c r="E208" s="2" t="s">
        <v>14</v>
      </c>
      <c r="F208" s="2" t="s">
        <v>15</v>
      </c>
      <c r="G208" s="2" t="s">
        <v>21</v>
      </c>
      <c r="H208" s="2" t="s">
        <v>22</v>
      </c>
      <c r="I208" s="14">
        <v>520.37</v>
      </c>
      <c r="J208" s="9">
        <v>1</v>
      </c>
      <c r="K208" s="7">
        <v>0</v>
      </c>
      <c r="L208" s="15">
        <v>-48.72</v>
      </c>
    </row>
    <row r="209" spans="1:12" x14ac:dyDescent="0.25">
      <c r="A209" s="2" t="s">
        <v>244</v>
      </c>
      <c r="B209" s="4">
        <v>44951</v>
      </c>
      <c r="C209" s="4">
        <v>44958</v>
      </c>
      <c r="D209" s="2" t="s">
        <v>13</v>
      </c>
      <c r="E209" s="2" t="s">
        <v>20</v>
      </c>
      <c r="F209" s="2" t="s">
        <v>35</v>
      </c>
      <c r="G209" s="2" t="s">
        <v>36</v>
      </c>
      <c r="H209" s="2" t="s">
        <v>22</v>
      </c>
      <c r="I209" s="14">
        <v>171.17</v>
      </c>
      <c r="J209" s="9">
        <v>10</v>
      </c>
      <c r="K209" s="7">
        <v>0.15</v>
      </c>
      <c r="L209" s="15">
        <v>22.54</v>
      </c>
    </row>
    <row r="210" spans="1:12" x14ac:dyDescent="0.25">
      <c r="A210" s="2" t="s">
        <v>245</v>
      </c>
      <c r="B210" s="4">
        <v>45013</v>
      </c>
      <c r="C210" s="4">
        <v>45017</v>
      </c>
      <c r="D210" s="2" t="s">
        <v>30</v>
      </c>
      <c r="E210" s="2" t="s">
        <v>28</v>
      </c>
      <c r="F210" s="2" t="s">
        <v>35</v>
      </c>
      <c r="G210" s="2" t="s">
        <v>36</v>
      </c>
      <c r="H210" s="2" t="s">
        <v>22</v>
      </c>
      <c r="I210" s="14">
        <v>315.33999999999997</v>
      </c>
      <c r="J210" s="9">
        <v>8</v>
      </c>
      <c r="K210" s="7">
        <v>0.1</v>
      </c>
      <c r="L210" s="15">
        <v>13.22</v>
      </c>
    </row>
    <row r="211" spans="1:12" x14ac:dyDescent="0.25">
      <c r="A211" s="2" t="s">
        <v>246</v>
      </c>
      <c r="B211" s="4">
        <v>45119</v>
      </c>
      <c r="C211" s="4">
        <v>45122</v>
      </c>
      <c r="D211" s="2" t="s">
        <v>27</v>
      </c>
      <c r="E211" s="2" t="s">
        <v>49</v>
      </c>
      <c r="F211" s="2" t="s">
        <v>15</v>
      </c>
      <c r="G211" s="2" t="s">
        <v>21</v>
      </c>
      <c r="H211" s="2" t="s">
        <v>22</v>
      </c>
      <c r="I211" s="14">
        <v>942.34</v>
      </c>
      <c r="J211" s="9">
        <v>4</v>
      </c>
      <c r="K211" s="7">
        <v>0.3</v>
      </c>
      <c r="L211" s="15">
        <v>-80.930000000000007</v>
      </c>
    </row>
    <row r="212" spans="1:12" x14ac:dyDescent="0.25">
      <c r="A212" s="2" t="s">
        <v>247</v>
      </c>
      <c r="B212" s="4">
        <v>45265</v>
      </c>
      <c r="C212" s="4">
        <v>45272</v>
      </c>
      <c r="D212" s="2" t="s">
        <v>27</v>
      </c>
      <c r="E212" s="2" t="s">
        <v>14</v>
      </c>
      <c r="F212" s="2" t="s">
        <v>32</v>
      </c>
      <c r="G212" s="2" t="s">
        <v>53</v>
      </c>
      <c r="H212" s="2" t="s">
        <v>22</v>
      </c>
      <c r="I212" s="14">
        <v>279.7</v>
      </c>
      <c r="J212" s="9">
        <v>10</v>
      </c>
      <c r="K212" s="7">
        <v>0.2</v>
      </c>
      <c r="L212" s="15">
        <v>2.6</v>
      </c>
    </row>
    <row r="213" spans="1:12" x14ac:dyDescent="0.25">
      <c r="A213" s="2" t="s">
        <v>248</v>
      </c>
      <c r="B213" s="4">
        <v>44948</v>
      </c>
      <c r="C213" s="4">
        <v>44951</v>
      </c>
      <c r="D213" s="2" t="s">
        <v>27</v>
      </c>
      <c r="E213" s="2" t="s">
        <v>49</v>
      </c>
      <c r="F213" s="2" t="s">
        <v>15</v>
      </c>
      <c r="G213" s="2" t="s">
        <v>21</v>
      </c>
      <c r="H213" s="2" t="s">
        <v>17</v>
      </c>
      <c r="I213" s="14">
        <v>746.87</v>
      </c>
      <c r="J213" s="9">
        <v>9</v>
      </c>
      <c r="K213" s="7">
        <v>0.15</v>
      </c>
      <c r="L213" s="15">
        <v>166.49</v>
      </c>
    </row>
    <row r="214" spans="1:12" x14ac:dyDescent="0.25">
      <c r="A214" s="2" t="s">
        <v>249</v>
      </c>
      <c r="B214" s="4">
        <v>45072</v>
      </c>
      <c r="C214" s="4">
        <v>45076</v>
      </c>
      <c r="D214" s="2" t="s">
        <v>30</v>
      </c>
      <c r="E214" s="2" t="s">
        <v>20</v>
      </c>
      <c r="F214" s="2" t="s">
        <v>35</v>
      </c>
      <c r="G214" s="2" t="s">
        <v>46</v>
      </c>
      <c r="H214" s="2" t="s">
        <v>40</v>
      </c>
      <c r="I214" s="14">
        <v>773</v>
      </c>
      <c r="J214" s="9">
        <v>4</v>
      </c>
      <c r="K214" s="7">
        <v>0</v>
      </c>
      <c r="L214" s="15">
        <v>-4.28</v>
      </c>
    </row>
    <row r="215" spans="1:12" x14ac:dyDescent="0.25">
      <c r="A215" s="2" t="s">
        <v>250</v>
      </c>
      <c r="B215" s="4">
        <v>45276</v>
      </c>
      <c r="C215" s="4">
        <v>45280</v>
      </c>
      <c r="D215" s="2" t="s">
        <v>19</v>
      </c>
      <c r="E215" s="2" t="s">
        <v>49</v>
      </c>
      <c r="F215" s="2" t="s">
        <v>35</v>
      </c>
      <c r="G215" s="2" t="s">
        <v>62</v>
      </c>
      <c r="H215" s="2" t="s">
        <v>22</v>
      </c>
      <c r="I215" s="14">
        <v>696.13</v>
      </c>
      <c r="J215" s="9">
        <v>3</v>
      </c>
      <c r="K215" s="7">
        <v>0.3</v>
      </c>
      <c r="L215" s="15">
        <v>108.07</v>
      </c>
    </row>
    <row r="216" spans="1:12" x14ac:dyDescent="0.25">
      <c r="A216" s="2" t="s">
        <v>251</v>
      </c>
      <c r="B216" s="4">
        <v>45013</v>
      </c>
      <c r="C216" s="4">
        <v>45014</v>
      </c>
      <c r="D216" s="2" t="s">
        <v>19</v>
      </c>
      <c r="E216" s="2" t="s">
        <v>43</v>
      </c>
      <c r="F216" s="2" t="s">
        <v>35</v>
      </c>
      <c r="G216" s="2" t="s">
        <v>46</v>
      </c>
      <c r="H216" s="2" t="s">
        <v>17</v>
      </c>
      <c r="I216" s="14">
        <v>418.47</v>
      </c>
      <c r="J216" s="9">
        <v>9</v>
      </c>
      <c r="K216" s="7">
        <v>0.3</v>
      </c>
      <c r="L216" s="15">
        <v>78.77</v>
      </c>
    </row>
    <row r="217" spans="1:12" x14ac:dyDescent="0.25">
      <c r="A217" s="2" t="s">
        <v>252</v>
      </c>
      <c r="B217" s="4">
        <v>44961</v>
      </c>
      <c r="C217" s="4">
        <v>44963</v>
      </c>
      <c r="D217" s="2" t="s">
        <v>13</v>
      </c>
      <c r="E217" s="2" t="s">
        <v>43</v>
      </c>
      <c r="F217" s="2" t="s">
        <v>35</v>
      </c>
      <c r="G217" s="2" t="s">
        <v>36</v>
      </c>
      <c r="H217" s="2" t="s">
        <v>40</v>
      </c>
      <c r="I217" s="14">
        <v>844.8</v>
      </c>
      <c r="J217" s="9">
        <v>10</v>
      </c>
      <c r="K217" s="7">
        <v>0.15</v>
      </c>
      <c r="L217" s="15">
        <v>93.26</v>
      </c>
    </row>
    <row r="218" spans="1:12" x14ac:dyDescent="0.25">
      <c r="A218" s="2" t="s">
        <v>253</v>
      </c>
      <c r="B218" s="4">
        <v>45124</v>
      </c>
      <c r="C218" s="4">
        <v>45126</v>
      </c>
      <c r="D218" s="2" t="s">
        <v>30</v>
      </c>
      <c r="E218" s="2" t="s">
        <v>43</v>
      </c>
      <c r="F218" s="2" t="s">
        <v>15</v>
      </c>
      <c r="G218" s="2" t="s">
        <v>25</v>
      </c>
      <c r="H218" s="2" t="s">
        <v>17</v>
      </c>
      <c r="I218" s="14">
        <v>160.63</v>
      </c>
      <c r="J218" s="9">
        <v>10</v>
      </c>
      <c r="K218" s="7">
        <v>0</v>
      </c>
      <c r="L218" s="15">
        <v>-8.94</v>
      </c>
    </row>
    <row r="219" spans="1:12" x14ac:dyDescent="0.25">
      <c r="A219" s="2" t="s">
        <v>254</v>
      </c>
      <c r="B219" s="4">
        <v>45195</v>
      </c>
      <c r="C219" s="4">
        <v>45202</v>
      </c>
      <c r="D219" s="2" t="s">
        <v>27</v>
      </c>
      <c r="E219" s="2" t="s">
        <v>49</v>
      </c>
      <c r="F219" s="2" t="s">
        <v>35</v>
      </c>
      <c r="G219" s="2" t="s">
        <v>62</v>
      </c>
      <c r="H219" s="2" t="s">
        <v>40</v>
      </c>
      <c r="I219" s="14">
        <v>767.33</v>
      </c>
      <c r="J219" s="9">
        <v>8</v>
      </c>
      <c r="K219" s="7">
        <v>0.2</v>
      </c>
      <c r="L219" s="15">
        <v>151.07</v>
      </c>
    </row>
    <row r="220" spans="1:12" x14ac:dyDescent="0.25">
      <c r="A220" s="2" t="s">
        <v>255</v>
      </c>
      <c r="B220" s="4">
        <v>44960</v>
      </c>
      <c r="C220" s="4">
        <v>44967</v>
      </c>
      <c r="D220" s="2" t="s">
        <v>13</v>
      </c>
      <c r="E220" s="2" t="s">
        <v>24</v>
      </c>
      <c r="F220" s="2" t="s">
        <v>15</v>
      </c>
      <c r="G220" s="2" t="s">
        <v>16</v>
      </c>
      <c r="H220" s="2" t="s">
        <v>22</v>
      </c>
      <c r="I220" s="14">
        <v>904.95</v>
      </c>
      <c r="J220" s="9">
        <v>8</v>
      </c>
      <c r="K220" s="7">
        <v>0.2</v>
      </c>
      <c r="L220" s="15">
        <v>-137.88</v>
      </c>
    </row>
    <row r="221" spans="1:12" x14ac:dyDescent="0.25">
      <c r="A221" s="2" t="s">
        <v>256</v>
      </c>
      <c r="B221" s="4">
        <v>45204</v>
      </c>
      <c r="C221" s="4">
        <v>45209</v>
      </c>
      <c r="D221" s="2" t="s">
        <v>27</v>
      </c>
      <c r="E221" s="2" t="s">
        <v>14</v>
      </c>
      <c r="F221" s="2" t="s">
        <v>32</v>
      </c>
      <c r="G221" s="2" t="s">
        <v>33</v>
      </c>
      <c r="H221" s="2" t="s">
        <v>17</v>
      </c>
      <c r="I221" s="14">
        <v>306.83</v>
      </c>
      <c r="J221" s="9">
        <v>5</v>
      </c>
      <c r="K221" s="7">
        <v>0.15</v>
      </c>
      <c r="L221" s="15">
        <v>-50.44</v>
      </c>
    </row>
    <row r="222" spans="1:12" x14ac:dyDescent="0.25">
      <c r="A222" s="2" t="s">
        <v>257</v>
      </c>
      <c r="B222" s="4">
        <v>45103</v>
      </c>
      <c r="C222" s="4">
        <v>45104</v>
      </c>
      <c r="D222" s="2" t="s">
        <v>19</v>
      </c>
      <c r="E222" s="2" t="s">
        <v>24</v>
      </c>
      <c r="F222" s="2" t="s">
        <v>35</v>
      </c>
      <c r="G222" s="2" t="s">
        <v>62</v>
      </c>
      <c r="H222" s="2" t="s">
        <v>40</v>
      </c>
      <c r="I222" s="14">
        <v>706.79</v>
      </c>
      <c r="J222" s="9">
        <v>3</v>
      </c>
      <c r="K222" s="7">
        <v>0</v>
      </c>
      <c r="L222" s="15">
        <v>169.49</v>
      </c>
    </row>
    <row r="223" spans="1:12" hidden="1" x14ac:dyDescent="0.25">
      <c r="A223" s="2" t="s">
        <v>258</v>
      </c>
      <c r="B223" s="4">
        <v>45292</v>
      </c>
      <c r="C223" s="4">
        <v>45293</v>
      </c>
      <c r="D223" s="2" t="s">
        <v>19</v>
      </c>
      <c r="E223" s="2" t="s">
        <v>24</v>
      </c>
      <c r="F223" s="2" t="s">
        <v>35</v>
      </c>
      <c r="G223" s="2" t="s">
        <v>62</v>
      </c>
      <c r="H223" s="2" t="s">
        <v>40</v>
      </c>
      <c r="I223" s="5">
        <v>121.38</v>
      </c>
      <c r="J223" s="9">
        <v>8</v>
      </c>
      <c r="K223" s="7">
        <v>0.3</v>
      </c>
      <c r="L223" s="7">
        <v>16.05</v>
      </c>
    </row>
    <row r="224" spans="1:12" x14ac:dyDescent="0.25">
      <c r="A224" s="2" t="s">
        <v>259</v>
      </c>
      <c r="B224" s="4">
        <v>45064</v>
      </c>
      <c r="C224" s="4">
        <v>45065</v>
      </c>
      <c r="D224" s="2" t="s">
        <v>30</v>
      </c>
      <c r="E224" s="2" t="s">
        <v>24</v>
      </c>
      <c r="F224" s="2" t="s">
        <v>35</v>
      </c>
      <c r="G224" s="2" t="s">
        <v>46</v>
      </c>
      <c r="H224" s="2" t="s">
        <v>40</v>
      </c>
      <c r="I224" s="14">
        <v>23.77</v>
      </c>
      <c r="J224" s="9">
        <v>8</v>
      </c>
      <c r="K224" s="7">
        <v>0.3</v>
      </c>
      <c r="L224" s="15">
        <v>4.68</v>
      </c>
    </row>
    <row r="225" spans="1:12" x14ac:dyDescent="0.25">
      <c r="A225" s="2" t="s">
        <v>260</v>
      </c>
      <c r="B225" s="4">
        <v>45032</v>
      </c>
      <c r="C225" s="4">
        <v>45036</v>
      </c>
      <c r="D225" s="2" t="s">
        <v>13</v>
      </c>
      <c r="E225" s="2" t="s">
        <v>28</v>
      </c>
      <c r="F225" s="2" t="s">
        <v>32</v>
      </c>
      <c r="G225" s="2" t="s">
        <v>39</v>
      </c>
      <c r="H225" s="2" t="s">
        <v>40</v>
      </c>
      <c r="I225" s="14">
        <v>564.71</v>
      </c>
      <c r="J225" s="9">
        <v>6</v>
      </c>
      <c r="K225" s="7">
        <v>0.15</v>
      </c>
      <c r="L225" s="15">
        <v>-21.59</v>
      </c>
    </row>
    <row r="226" spans="1:12" x14ac:dyDescent="0.25">
      <c r="A226" s="2" t="s">
        <v>261</v>
      </c>
      <c r="B226" s="4">
        <v>45106</v>
      </c>
      <c r="C226" s="4">
        <v>45108</v>
      </c>
      <c r="D226" s="2" t="s">
        <v>30</v>
      </c>
      <c r="E226" s="2" t="s">
        <v>28</v>
      </c>
      <c r="F226" s="2" t="s">
        <v>35</v>
      </c>
      <c r="G226" s="2" t="s">
        <v>46</v>
      </c>
      <c r="H226" s="2" t="s">
        <v>40</v>
      </c>
      <c r="I226" s="14">
        <v>550.65</v>
      </c>
      <c r="J226" s="9">
        <v>5</v>
      </c>
      <c r="K226" s="7">
        <v>0</v>
      </c>
      <c r="L226" s="15">
        <v>52.79</v>
      </c>
    </row>
    <row r="227" spans="1:12" x14ac:dyDescent="0.25">
      <c r="A227" s="2" t="s">
        <v>262</v>
      </c>
      <c r="B227" s="4">
        <v>45166</v>
      </c>
      <c r="C227" s="4">
        <v>45168</v>
      </c>
      <c r="D227" s="2" t="s">
        <v>30</v>
      </c>
      <c r="E227" s="2" t="s">
        <v>43</v>
      </c>
      <c r="F227" s="2" t="s">
        <v>15</v>
      </c>
      <c r="G227" s="2" t="s">
        <v>21</v>
      </c>
      <c r="H227" s="2" t="s">
        <v>17</v>
      </c>
      <c r="I227" s="14">
        <v>424.85</v>
      </c>
      <c r="J227" s="9">
        <v>9</v>
      </c>
      <c r="K227" s="7">
        <v>0.15</v>
      </c>
      <c r="L227" s="15">
        <v>43.5</v>
      </c>
    </row>
    <row r="228" spans="1:12" x14ac:dyDescent="0.25">
      <c r="A228" s="2" t="s">
        <v>263</v>
      </c>
      <c r="B228" s="4">
        <v>44967</v>
      </c>
      <c r="C228" s="4">
        <v>44974</v>
      </c>
      <c r="D228" s="2" t="s">
        <v>13</v>
      </c>
      <c r="E228" s="2" t="s">
        <v>49</v>
      </c>
      <c r="F228" s="2" t="s">
        <v>35</v>
      </c>
      <c r="G228" s="2" t="s">
        <v>46</v>
      </c>
      <c r="H228" s="2" t="s">
        <v>17</v>
      </c>
      <c r="I228" s="14">
        <v>308.81</v>
      </c>
      <c r="J228" s="9">
        <v>4</v>
      </c>
      <c r="K228" s="7">
        <v>0.2</v>
      </c>
      <c r="L228" s="15">
        <v>-19.579999999999998</v>
      </c>
    </row>
    <row r="229" spans="1:12" x14ac:dyDescent="0.25">
      <c r="A229" s="2" t="s">
        <v>264</v>
      </c>
      <c r="B229" s="4">
        <v>45021</v>
      </c>
      <c r="C229" s="4">
        <v>45028</v>
      </c>
      <c r="D229" s="2" t="s">
        <v>30</v>
      </c>
      <c r="E229" s="2" t="s">
        <v>49</v>
      </c>
      <c r="F229" s="2" t="s">
        <v>32</v>
      </c>
      <c r="G229" s="2" t="s">
        <v>33</v>
      </c>
      <c r="H229" s="2" t="s">
        <v>40</v>
      </c>
      <c r="I229" s="14">
        <v>157.61000000000001</v>
      </c>
      <c r="J229" s="9">
        <v>5</v>
      </c>
      <c r="K229" s="7">
        <v>0.1</v>
      </c>
      <c r="L229" s="15">
        <v>26.84</v>
      </c>
    </row>
    <row r="230" spans="1:12" x14ac:dyDescent="0.25">
      <c r="A230" s="2" t="s">
        <v>265</v>
      </c>
      <c r="B230" s="4">
        <v>45044</v>
      </c>
      <c r="C230" s="4">
        <v>45046</v>
      </c>
      <c r="D230" s="2" t="s">
        <v>27</v>
      </c>
      <c r="E230" s="2" t="s">
        <v>28</v>
      </c>
      <c r="F230" s="2" t="s">
        <v>35</v>
      </c>
      <c r="G230" s="2" t="s">
        <v>46</v>
      </c>
      <c r="H230" s="2" t="s">
        <v>22</v>
      </c>
      <c r="I230" s="14">
        <v>359.21</v>
      </c>
      <c r="J230" s="9">
        <v>5</v>
      </c>
      <c r="K230" s="7">
        <v>0.15</v>
      </c>
      <c r="L230" s="15">
        <v>54.59</v>
      </c>
    </row>
    <row r="231" spans="1:12" x14ac:dyDescent="0.25">
      <c r="A231" s="2" t="s">
        <v>266</v>
      </c>
      <c r="B231" s="4">
        <v>45078</v>
      </c>
      <c r="C231" s="4">
        <v>45081</v>
      </c>
      <c r="D231" s="2" t="s">
        <v>30</v>
      </c>
      <c r="E231" s="2" t="s">
        <v>49</v>
      </c>
      <c r="F231" s="2" t="s">
        <v>35</v>
      </c>
      <c r="G231" s="2" t="s">
        <v>36</v>
      </c>
      <c r="H231" s="2" t="s">
        <v>40</v>
      </c>
      <c r="I231" s="14">
        <v>838.88</v>
      </c>
      <c r="J231" s="9">
        <v>8</v>
      </c>
      <c r="K231" s="7">
        <v>0.2</v>
      </c>
      <c r="L231" s="15">
        <v>52.86</v>
      </c>
    </row>
    <row r="232" spans="1:12" x14ac:dyDescent="0.25">
      <c r="A232" s="2" t="s">
        <v>267</v>
      </c>
      <c r="B232" s="4">
        <v>45265</v>
      </c>
      <c r="C232" s="4">
        <v>45267</v>
      </c>
      <c r="D232" s="2" t="s">
        <v>13</v>
      </c>
      <c r="E232" s="2" t="s">
        <v>43</v>
      </c>
      <c r="F232" s="2" t="s">
        <v>15</v>
      </c>
      <c r="G232" s="2" t="s">
        <v>16</v>
      </c>
      <c r="H232" s="2" t="s">
        <v>17</v>
      </c>
      <c r="I232" s="14">
        <v>87.86</v>
      </c>
      <c r="J232" s="9">
        <v>7</v>
      </c>
      <c r="K232" s="7">
        <v>0</v>
      </c>
      <c r="L232" s="15">
        <v>-2.64</v>
      </c>
    </row>
    <row r="233" spans="1:12" x14ac:dyDescent="0.25">
      <c r="A233" s="2" t="s">
        <v>268</v>
      </c>
      <c r="B233" s="4">
        <v>45086</v>
      </c>
      <c r="C233" s="4">
        <v>45092</v>
      </c>
      <c r="D233" s="2" t="s">
        <v>27</v>
      </c>
      <c r="E233" s="2" t="s">
        <v>24</v>
      </c>
      <c r="F233" s="2" t="s">
        <v>15</v>
      </c>
      <c r="G233" s="2" t="s">
        <v>16</v>
      </c>
      <c r="H233" s="2" t="s">
        <v>17</v>
      </c>
      <c r="I233" s="14">
        <v>875.19</v>
      </c>
      <c r="J233" s="9">
        <v>10</v>
      </c>
      <c r="K233" s="7">
        <v>0.15</v>
      </c>
      <c r="L233" s="15">
        <v>220.66</v>
      </c>
    </row>
    <row r="234" spans="1:12" x14ac:dyDescent="0.25">
      <c r="A234" s="2" t="s">
        <v>269</v>
      </c>
      <c r="B234" s="4">
        <v>45054</v>
      </c>
      <c r="C234" s="4">
        <v>45059</v>
      </c>
      <c r="D234" s="2" t="s">
        <v>13</v>
      </c>
      <c r="E234" s="2" t="s">
        <v>28</v>
      </c>
      <c r="F234" s="2" t="s">
        <v>35</v>
      </c>
      <c r="G234" s="2" t="s">
        <v>36</v>
      </c>
      <c r="H234" s="2" t="s">
        <v>40</v>
      </c>
      <c r="I234" s="14">
        <v>240.81</v>
      </c>
      <c r="J234" s="9">
        <v>4</v>
      </c>
      <c r="K234" s="7">
        <v>0.15</v>
      </c>
      <c r="L234" s="15">
        <v>8.8800000000000008</v>
      </c>
    </row>
    <row r="235" spans="1:12" x14ac:dyDescent="0.25">
      <c r="A235" s="2" t="s">
        <v>270</v>
      </c>
      <c r="B235" s="4">
        <v>45116</v>
      </c>
      <c r="C235" s="4">
        <v>45118</v>
      </c>
      <c r="D235" s="2" t="s">
        <v>19</v>
      </c>
      <c r="E235" s="2" t="s">
        <v>20</v>
      </c>
      <c r="F235" s="2" t="s">
        <v>35</v>
      </c>
      <c r="G235" s="2" t="s">
        <v>36</v>
      </c>
      <c r="H235" s="2" t="s">
        <v>22</v>
      </c>
      <c r="I235" s="14">
        <v>956.17</v>
      </c>
      <c r="J235" s="9">
        <v>3</v>
      </c>
      <c r="K235" s="7">
        <v>0.1</v>
      </c>
      <c r="L235" s="15">
        <v>4.2300000000000004</v>
      </c>
    </row>
    <row r="236" spans="1:12" x14ac:dyDescent="0.25">
      <c r="A236" s="2" t="s">
        <v>271</v>
      </c>
      <c r="B236" s="4">
        <v>45046</v>
      </c>
      <c r="C236" s="4">
        <v>45052</v>
      </c>
      <c r="D236" s="2" t="s">
        <v>27</v>
      </c>
      <c r="E236" s="2" t="s">
        <v>24</v>
      </c>
      <c r="F236" s="2" t="s">
        <v>15</v>
      </c>
      <c r="G236" s="2" t="s">
        <v>16</v>
      </c>
      <c r="H236" s="2" t="s">
        <v>40</v>
      </c>
      <c r="I236" s="14">
        <v>699.26</v>
      </c>
      <c r="J236" s="9">
        <v>8</v>
      </c>
      <c r="K236" s="7">
        <v>0.3</v>
      </c>
      <c r="L236" s="15">
        <v>-93.99</v>
      </c>
    </row>
    <row r="237" spans="1:12" x14ac:dyDescent="0.25">
      <c r="A237" s="2" t="s">
        <v>272</v>
      </c>
      <c r="B237" s="4">
        <v>44941</v>
      </c>
      <c r="C237" s="4">
        <v>44945</v>
      </c>
      <c r="D237" s="2" t="s">
        <v>27</v>
      </c>
      <c r="E237" s="2" t="s">
        <v>24</v>
      </c>
      <c r="F237" s="2" t="s">
        <v>35</v>
      </c>
      <c r="G237" s="2" t="s">
        <v>46</v>
      </c>
      <c r="H237" s="2" t="s">
        <v>40</v>
      </c>
      <c r="I237" s="14">
        <v>686.63</v>
      </c>
      <c r="J237" s="9">
        <v>4</v>
      </c>
      <c r="K237" s="7">
        <v>0.3</v>
      </c>
      <c r="L237" s="15">
        <v>-17.39</v>
      </c>
    </row>
    <row r="238" spans="1:12" x14ac:dyDescent="0.25">
      <c r="A238" s="2" t="s">
        <v>273</v>
      </c>
      <c r="B238" s="4">
        <v>45175</v>
      </c>
      <c r="C238" s="4">
        <v>45176</v>
      </c>
      <c r="D238" s="2" t="s">
        <v>13</v>
      </c>
      <c r="E238" s="2" t="s">
        <v>28</v>
      </c>
      <c r="F238" s="2" t="s">
        <v>35</v>
      </c>
      <c r="G238" s="2" t="s">
        <v>36</v>
      </c>
      <c r="H238" s="2" t="s">
        <v>40</v>
      </c>
      <c r="I238" s="14">
        <v>570.19000000000005</v>
      </c>
      <c r="J238" s="9">
        <v>9</v>
      </c>
      <c r="K238" s="7">
        <v>0.2</v>
      </c>
      <c r="L238" s="15">
        <v>51.07</v>
      </c>
    </row>
    <row r="239" spans="1:12" x14ac:dyDescent="0.25">
      <c r="A239" s="2" t="s">
        <v>274</v>
      </c>
      <c r="B239" s="4">
        <v>45111</v>
      </c>
      <c r="C239" s="4">
        <v>45118</v>
      </c>
      <c r="D239" s="2" t="s">
        <v>30</v>
      </c>
      <c r="E239" s="2" t="s">
        <v>20</v>
      </c>
      <c r="F239" s="2" t="s">
        <v>32</v>
      </c>
      <c r="G239" s="2" t="s">
        <v>39</v>
      </c>
      <c r="H239" s="2" t="s">
        <v>22</v>
      </c>
      <c r="I239" s="14">
        <v>750.86</v>
      </c>
      <c r="J239" s="9">
        <v>2</v>
      </c>
      <c r="K239" s="7">
        <v>0.3</v>
      </c>
      <c r="L239" s="15">
        <v>22.79</v>
      </c>
    </row>
    <row r="240" spans="1:12" x14ac:dyDescent="0.25">
      <c r="A240" s="2" t="s">
        <v>275</v>
      </c>
      <c r="B240" s="4">
        <v>45135</v>
      </c>
      <c r="C240" s="4">
        <v>45138</v>
      </c>
      <c r="D240" s="2" t="s">
        <v>19</v>
      </c>
      <c r="E240" s="2" t="s">
        <v>49</v>
      </c>
      <c r="F240" s="2" t="s">
        <v>15</v>
      </c>
      <c r="G240" s="2" t="s">
        <v>25</v>
      </c>
      <c r="H240" s="2" t="s">
        <v>17</v>
      </c>
      <c r="I240" s="14">
        <v>475.22</v>
      </c>
      <c r="J240" s="9">
        <v>8</v>
      </c>
      <c r="K240" s="7">
        <v>0.2</v>
      </c>
      <c r="L240" s="15">
        <v>101.39</v>
      </c>
    </row>
    <row r="241" spans="1:12" x14ac:dyDescent="0.25">
      <c r="A241" s="2" t="s">
        <v>276</v>
      </c>
      <c r="B241" s="4">
        <v>45220</v>
      </c>
      <c r="C241" s="4">
        <v>45226</v>
      </c>
      <c r="D241" s="2" t="s">
        <v>27</v>
      </c>
      <c r="E241" s="2" t="s">
        <v>28</v>
      </c>
      <c r="F241" s="2" t="s">
        <v>35</v>
      </c>
      <c r="G241" s="2" t="s">
        <v>62</v>
      </c>
      <c r="H241" s="2" t="s">
        <v>40</v>
      </c>
      <c r="I241" s="14">
        <v>281.20999999999998</v>
      </c>
      <c r="J241" s="9">
        <v>3</v>
      </c>
      <c r="K241" s="7">
        <v>0.2</v>
      </c>
      <c r="L241" s="15">
        <v>47.86</v>
      </c>
    </row>
    <row r="242" spans="1:12" x14ac:dyDescent="0.25">
      <c r="A242" s="2" t="s">
        <v>277</v>
      </c>
      <c r="B242" s="4">
        <v>45025</v>
      </c>
      <c r="C242" s="4">
        <v>45027</v>
      </c>
      <c r="D242" s="2" t="s">
        <v>30</v>
      </c>
      <c r="E242" s="2" t="s">
        <v>28</v>
      </c>
      <c r="F242" s="2" t="s">
        <v>32</v>
      </c>
      <c r="G242" s="2" t="s">
        <v>39</v>
      </c>
      <c r="H242" s="2" t="s">
        <v>17</v>
      </c>
      <c r="I242" s="14">
        <v>84.39</v>
      </c>
      <c r="J242" s="9">
        <v>9</v>
      </c>
      <c r="K242" s="7">
        <v>0.2</v>
      </c>
      <c r="L242" s="15">
        <v>-1</v>
      </c>
    </row>
    <row r="243" spans="1:12" x14ac:dyDescent="0.25">
      <c r="A243" s="2" t="s">
        <v>278</v>
      </c>
      <c r="B243" s="4">
        <v>44937</v>
      </c>
      <c r="C243" s="4">
        <v>44941</v>
      </c>
      <c r="D243" s="2" t="s">
        <v>13</v>
      </c>
      <c r="E243" s="2" t="s">
        <v>24</v>
      </c>
      <c r="F243" s="2" t="s">
        <v>15</v>
      </c>
      <c r="G243" s="2" t="s">
        <v>16</v>
      </c>
      <c r="H243" s="2" t="s">
        <v>17</v>
      </c>
      <c r="I243" s="14">
        <v>221.61</v>
      </c>
      <c r="J243" s="9">
        <v>10</v>
      </c>
      <c r="K243" s="7">
        <v>0.2</v>
      </c>
      <c r="L243" s="15">
        <v>40.74</v>
      </c>
    </row>
    <row r="244" spans="1:12" x14ac:dyDescent="0.25">
      <c r="A244" s="2" t="s">
        <v>279</v>
      </c>
      <c r="B244" s="4">
        <v>45127</v>
      </c>
      <c r="C244" s="4">
        <v>45133</v>
      </c>
      <c r="D244" s="2" t="s">
        <v>27</v>
      </c>
      <c r="E244" s="2" t="s">
        <v>43</v>
      </c>
      <c r="F244" s="2" t="s">
        <v>35</v>
      </c>
      <c r="G244" s="2" t="s">
        <v>46</v>
      </c>
      <c r="H244" s="2" t="s">
        <v>40</v>
      </c>
      <c r="I244" s="14">
        <v>50.37</v>
      </c>
      <c r="J244" s="9">
        <v>9</v>
      </c>
      <c r="K244" s="7">
        <v>0.3</v>
      </c>
      <c r="L244" s="15">
        <v>7.87</v>
      </c>
    </row>
    <row r="245" spans="1:12" x14ac:dyDescent="0.25">
      <c r="A245" s="2" t="s">
        <v>280</v>
      </c>
      <c r="B245" s="4">
        <v>45054</v>
      </c>
      <c r="C245" s="4">
        <v>45061</v>
      </c>
      <c r="D245" s="2" t="s">
        <v>30</v>
      </c>
      <c r="E245" s="2" t="s">
        <v>24</v>
      </c>
      <c r="F245" s="2" t="s">
        <v>32</v>
      </c>
      <c r="G245" s="2" t="s">
        <v>39</v>
      </c>
      <c r="H245" s="2" t="s">
        <v>17</v>
      </c>
      <c r="I245" s="14">
        <v>234.59</v>
      </c>
      <c r="J245" s="9">
        <v>1</v>
      </c>
      <c r="K245" s="7">
        <v>0</v>
      </c>
      <c r="L245" s="15">
        <v>47.35</v>
      </c>
    </row>
    <row r="246" spans="1:12" x14ac:dyDescent="0.25">
      <c r="A246" s="2" t="s">
        <v>281</v>
      </c>
      <c r="B246" s="4">
        <v>45017</v>
      </c>
      <c r="C246" s="4">
        <v>45023</v>
      </c>
      <c r="D246" s="2" t="s">
        <v>19</v>
      </c>
      <c r="E246" s="2" t="s">
        <v>28</v>
      </c>
      <c r="F246" s="2" t="s">
        <v>15</v>
      </c>
      <c r="G246" s="2" t="s">
        <v>25</v>
      </c>
      <c r="H246" s="2" t="s">
        <v>22</v>
      </c>
      <c r="I246" s="14">
        <v>471.6</v>
      </c>
      <c r="J246" s="9">
        <v>7</v>
      </c>
      <c r="K246" s="7">
        <v>0</v>
      </c>
      <c r="L246" s="15">
        <v>20.43</v>
      </c>
    </row>
    <row r="247" spans="1:12" x14ac:dyDescent="0.25">
      <c r="A247" s="2" t="s">
        <v>282</v>
      </c>
      <c r="B247" s="4">
        <v>45162</v>
      </c>
      <c r="C247" s="4">
        <v>45168</v>
      </c>
      <c r="D247" s="2" t="s">
        <v>13</v>
      </c>
      <c r="E247" s="2" t="s">
        <v>14</v>
      </c>
      <c r="F247" s="2" t="s">
        <v>15</v>
      </c>
      <c r="G247" s="2" t="s">
        <v>16</v>
      </c>
      <c r="H247" s="2" t="s">
        <v>40</v>
      </c>
      <c r="I247" s="14">
        <v>173.48</v>
      </c>
      <c r="J247" s="9">
        <v>4</v>
      </c>
      <c r="K247" s="7">
        <v>0</v>
      </c>
      <c r="L247" s="15">
        <v>38.04</v>
      </c>
    </row>
    <row r="248" spans="1:12" x14ac:dyDescent="0.25">
      <c r="A248" s="2" t="s">
        <v>283</v>
      </c>
      <c r="B248" s="4">
        <v>45140</v>
      </c>
      <c r="C248" s="4">
        <v>45141</v>
      </c>
      <c r="D248" s="2" t="s">
        <v>27</v>
      </c>
      <c r="E248" s="2" t="s">
        <v>43</v>
      </c>
      <c r="F248" s="2" t="s">
        <v>32</v>
      </c>
      <c r="G248" s="2" t="s">
        <v>39</v>
      </c>
      <c r="H248" s="2" t="s">
        <v>17</v>
      </c>
      <c r="I248" s="14">
        <v>710.58</v>
      </c>
      <c r="J248" s="9">
        <v>5</v>
      </c>
      <c r="K248" s="7">
        <v>0.1</v>
      </c>
      <c r="L248" s="15">
        <v>72.19</v>
      </c>
    </row>
    <row r="249" spans="1:12" x14ac:dyDescent="0.25">
      <c r="A249" s="2" t="s">
        <v>284</v>
      </c>
      <c r="B249" s="4">
        <v>45048</v>
      </c>
      <c r="C249" s="4">
        <v>45051</v>
      </c>
      <c r="D249" s="2" t="s">
        <v>19</v>
      </c>
      <c r="E249" s="2" t="s">
        <v>49</v>
      </c>
      <c r="F249" s="2" t="s">
        <v>15</v>
      </c>
      <c r="G249" s="2" t="s">
        <v>25</v>
      </c>
      <c r="H249" s="2" t="s">
        <v>22</v>
      </c>
      <c r="I249" s="14">
        <v>363</v>
      </c>
      <c r="J249" s="9">
        <v>4</v>
      </c>
      <c r="K249" s="7">
        <v>0.3</v>
      </c>
      <c r="L249" s="15">
        <v>-20.65</v>
      </c>
    </row>
    <row r="250" spans="1:12" x14ac:dyDescent="0.25">
      <c r="A250" s="2" t="s">
        <v>285</v>
      </c>
      <c r="B250" s="4">
        <v>45183</v>
      </c>
      <c r="C250" s="4">
        <v>45188</v>
      </c>
      <c r="D250" s="2" t="s">
        <v>19</v>
      </c>
      <c r="E250" s="2" t="s">
        <v>43</v>
      </c>
      <c r="F250" s="2" t="s">
        <v>32</v>
      </c>
      <c r="G250" s="2" t="s">
        <v>53</v>
      </c>
      <c r="H250" s="2" t="s">
        <v>17</v>
      </c>
      <c r="I250" s="14">
        <v>910.33</v>
      </c>
      <c r="J250" s="9">
        <v>7</v>
      </c>
      <c r="K250" s="7">
        <v>0.1</v>
      </c>
      <c r="L250" s="15">
        <v>123.28</v>
      </c>
    </row>
    <row r="251" spans="1:12" x14ac:dyDescent="0.25">
      <c r="A251" s="2" t="s">
        <v>286</v>
      </c>
      <c r="B251" s="4">
        <v>45125</v>
      </c>
      <c r="C251" s="4">
        <v>45130</v>
      </c>
      <c r="D251" s="2" t="s">
        <v>30</v>
      </c>
      <c r="E251" s="2" t="s">
        <v>24</v>
      </c>
      <c r="F251" s="2" t="s">
        <v>32</v>
      </c>
      <c r="G251" s="2" t="s">
        <v>39</v>
      </c>
      <c r="H251" s="2" t="s">
        <v>22</v>
      </c>
      <c r="I251" s="14">
        <v>864.88</v>
      </c>
      <c r="J251" s="9">
        <v>9</v>
      </c>
      <c r="K251" s="7">
        <v>0.15</v>
      </c>
      <c r="L251" s="15">
        <v>9.0500000000000007</v>
      </c>
    </row>
    <row r="252" spans="1:12" x14ac:dyDescent="0.25">
      <c r="A252" s="2" t="s">
        <v>287</v>
      </c>
      <c r="B252" s="4">
        <v>45153</v>
      </c>
      <c r="C252" s="4">
        <v>45157</v>
      </c>
      <c r="D252" s="2" t="s">
        <v>30</v>
      </c>
      <c r="E252" s="2" t="s">
        <v>43</v>
      </c>
      <c r="F252" s="2" t="s">
        <v>35</v>
      </c>
      <c r="G252" s="2" t="s">
        <v>46</v>
      </c>
      <c r="H252" s="2" t="s">
        <v>17</v>
      </c>
      <c r="I252" s="14">
        <v>582.39</v>
      </c>
      <c r="J252" s="9">
        <v>1</v>
      </c>
      <c r="K252" s="7">
        <v>0.15</v>
      </c>
      <c r="L252" s="15">
        <v>115.64</v>
      </c>
    </row>
    <row r="253" spans="1:12" x14ac:dyDescent="0.25">
      <c r="A253" s="2" t="s">
        <v>288</v>
      </c>
      <c r="B253" s="4">
        <v>45273</v>
      </c>
      <c r="C253" s="4">
        <v>45277</v>
      </c>
      <c r="D253" s="2" t="s">
        <v>19</v>
      </c>
      <c r="E253" s="2" t="s">
        <v>24</v>
      </c>
      <c r="F253" s="2" t="s">
        <v>15</v>
      </c>
      <c r="G253" s="2" t="s">
        <v>21</v>
      </c>
      <c r="H253" s="2" t="s">
        <v>22</v>
      </c>
      <c r="I253" s="14">
        <v>193.67</v>
      </c>
      <c r="J253" s="9">
        <v>4</v>
      </c>
      <c r="K253" s="7">
        <v>0.15</v>
      </c>
      <c r="L253" s="15">
        <v>17.93</v>
      </c>
    </row>
    <row r="254" spans="1:12" x14ac:dyDescent="0.25">
      <c r="A254" s="2" t="s">
        <v>289</v>
      </c>
      <c r="B254" s="4">
        <v>45275</v>
      </c>
      <c r="C254" s="4">
        <v>45276</v>
      </c>
      <c r="D254" s="2" t="s">
        <v>30</v>
      </c>
      <c r="E254" s="2" t="s">
        <v>20</v>
      </c>
      <c r="F254" s="2" t="s">
        <v>35</v>
      </c>
      <c r="G254" s="2" t="s">
        <v>46</v>
      </c>
      <c r="H254" s="2" t="s">
        <v>40</v>
      </c>
      <c r="I254" s="14">
        <v>619.08000000000004</v>
      </c>
      <c r="J254" s="9">
        <v>1</v>
      </c>
      <c r="K254" s="7">
        <v>0.3</v>
      </c>
      <c r="L254" s="15">
        <v>128.07</v>
      </c>
    </row>
    <row r="255" spans="1:12" x14ac:dyDescent="0.25">
      <c r="A255" s="2" t="s">
        <v>290</v>
      </c>
      <c r="B255" s="4">
        <v>45150</v>
      </c>
      <c r="C255" s="4">
        <v>45153</v>
      </c>
      <c r="D255" s="2" t="s">
        <v>27</v>
      </c>
      <c r="E255" s="2" t="s">
        <v>20</v>
      </c>
      <c r="F255" s="2" t="s">
        <v>35</v>
      </c>
      <c r="G255" s="2" t="s">
        <v>62</v>
      </c>
      <c r="H255" s="2" t="s">
        <v>40</v>
      </c>
      <c r="I255" s="14">
        <v>816.86</v>
      </c>
      <c r="J255" s="9">
        <v>1</v>
      </c>
      <c r="K255" s="7">
        <v>0.1</v>
      </c>
      <c r="L255" s="15">
        <v>-102</v>
      </c>
    </row>
    <row r="256" spans="1:12" x14ac:dyDescent="0.25">
      <c r="A256" s="2" t="s">
        <v>291</v>
      </c>
      <c r="B256" s="4">
        <v>45080</v>
      </c>
      <c r="C256" s="4">
        <v>45086</v>
      </c>
      <c r="D256" s="2" t="s">
        <v>19</v>
      </c>
      <c r="E256" s="2" t="s">
        <v>14</v>
      </c>
      <c r="F256" s="2" t="s">
        <v>32</v>
      </c>
      <c r="G256" s="2" t="s">
        <v>53</v>
      </c>
      <c r="H256" s="2" t="s">
        <v>22</v>
      </c>
      <c r="I256" s="14">
        <v>539.80999999999995</v>
      </c>
      <c r="J256" s="9">
        <v>3</v>
      </c>
      <c r="K256" s="7">
        <v>0.3</v>
      </c>
      <c r="L256" s="15">
        <v>90.84</v>
      </c>
    </row>
    <row r="257" spans="1:12" x14ac:dyDescent="0.25">
      <c r="A257" s="2" t="s">
        <v>292</v>
      </c>
      <c r="B257" s="4">
        <v>45257</v>
      </c>
      <c r="C257" s="4">
        <v>45259</v>
      </c>
      <c r="D257" s="2" t="s">
        <v>30</v>
      </c>
      <c r="E257" s="2" t="s">
        <v>49</v>
      </c>
      <c r="F257" s="2" t="s">
        <v>35</v>
      </c>
      <c r="G257" s="2" t="s">
        <v>62</v>
      </c>
      <c r="H257" s="2" t="s">
        <v>40</v>
      </c>
      <c r="I257" s="14">
        <v>383.37</v>
      </c>
      <c r="J257" s="9">
        <v>4</v>
      </c>
      <c r="K257" s="7">
        <v>0.15</v>
      </c>
      <c r="L257" s="15">
        <v>-65.150000000000006</v>
      </c>
    </row>
    <row r="258" spans="1:12" x14ac:dyDescent="0.25">
      <c r="A258" s="2" t="s">
        <v>293</v>
      </c>
      <c r="B258" s="4">
        <v>45123</v>
      </c>
      <c r="C258" s="4">
        <v>45130</v>
      </c>
      <c r="D258" s="2" t="s">
        <v>13</v>
      </c>
      <c r="E258" s="2" t="s">
        <v>24</v>
      </c>
      <c r="F258" s="2" t="s">
        <v>35</v>
      </c>
      <c r="G258" s="2" t="s">
        <v>36</v>
      </c>
      <c r="H258" s="2" t="s">
        <v>40</v>
      </c>
      <c r="I258" s="14">
        <v>447.71</v>
      </c>
      <c r="J258" s="9">
        <v>2</v>
      </c>
      <c r="K258" s="7">
        <v>0.3</v>
      </c>
      <c r="L258" s="15">
        <v>5.66</v>
      </c>
    </row>
    <row r="259" spans="1:12" x14ac:dyDescent="0.25">
      <c r="A259" s="2" t="s">
        <v>294</v>
      </c>
      <c r="B259" s="4">
        <v>45276</v>
      </c>
      <c r="C259" s="4">
        <v>45281</v>
      </c>
      <c r="D259" s="2" t="s">
        <v>19</v>
      </c>
      <c r="E259" s="2" t="s">
        <v>28</v>
      </c>
      <c r="F259" s="2" t="s">
        <v>15</v>
      </c>
      <c r="G259" s="2" t="s">
        <v>25</v>
      </c>
      <c r="H259" s="2" t="s">
        <v>40</v>
      </c>
      <c r="I259" s="14">
        <v>795.09</v>
      </c>
      <c r="J259" s="9">
        <v>8</v>
      </c>
      <c r="K259" s="7">
        <v>0.1</v>
      </c>
      <c r="L259" s="15">
        <v>-54.06</v>
      </c>
    </row>
    <row r="260" spans="1:12" x14ac:dyDescent="0.25">
      <c r="A260" s="2" t="s">
        <v>295</v>
      </c>
      <c r="B260" s="4">
        <v>44999</v>
      </c>
      <c r="C260" s="4">
        <v>45006</v>
      </c>
      <c r="D260" s="2" t="s">
        <v>19</v>
      </c>
      <c r="E260" s="2" t="s">
        <v>20</v>
      </c>
      <c r="F260" s="2" t="s">
        <v>32</v>
      </c>
      <c r="G260" s="2" t="s">
        <v>53</v>
      </c>
      <c r="H260" s="2" t="s">
        <v>40</v>
      </c>
      <c r="I260" s="14">
        <v>838.6</v>
      </c>
      <c r="J260" s="9">
        <v>9</v>
      </c>
      <c r="K260" s="7">
        <v>0.15</v>
      </c>
      <c r="L260" s="15">
        <v>109.38</v>
      </c>
    </row>
    <row r="261" spans="1:12" x14ac:dyDescent="0.25">
      <c r="A261" s="2" t="s">
        <v>296</v>
      </c>
      <c r="B261" s="4">
        <v>45015</v>
      </c>
      <c r="C261" s="4">
        <v>45018</v>
      </c>
      <c r="D261" s="2" t="s">
        <v>19</v>
      </c>
      <c r="E261" s="2" t="s">
        <v>14</v>
      </c>
      <c r="F261" s="2" t="s">
        <v>35</v>
      </c>
      <c r="G261" s="2" t="s">
        <v>46</v>
      </c>
      <c r="H261" s="2" t="s">
        <v>17</v>
      </c>
      <c r="I261" s="14">
        <v>611.75</v>
      </c>
      <c r="J261" s="9">
        <v>9</v>
      </c>
      <c r="K261" s="7">
        <v>0.1</v>
      </c>
      <c r="L261" s="15">
        <v>-11.2</v>
      </c>
    </row>
    <row r="262" spans="1:12" x14ac:dyDescent="0.25">
      <c r="A262" s="2" t="s">
        <v>297</v>
      </c>
      <c r="B262" s="4">
        <v>45149</v>
      </c>
      <c r="C262" s="4">
        <v>45153</v>
      </c>
      <c r="D262" s="2" t="s">
        <v>13</v>
      </c>
      <c r="E262" s="2" t="s">
        <v>43</v>
      </c>
      <c r="F262" s="2" t="s">
        <v>35</v>
      </c>
      <c r="G262" s="2" t="s">
        <v>36</v>
      </c>
      <c r="H262" s="2" t="s">
        <v>22</v>
      </c>
      <c r="I262" s="14">
        <v>371.44</v>
      </c>
      <c r="J262" s="9">
        <v>10</v>
      </c>
      <c r="K262" s="7">
        <v>0</v>
      </c>
      <c r="L262" s="15">
        <v>-51.13</v>
      </c>
    </row>
    <row r="263" spans="1:12" x14ac:dyDescent="0.25">
      <c r="A263" s="2" t="s">
        <v>298</v>
      </c>
      <c r="B263" s="4">
        <v>45036</v>
      </c>
      <c r="C263" s="4">
        <v>45042</v>
      </c>
      <c r="D263" s="2" t="s">
        <v>30</v>
      </c>
      <c r="E263" s="2" t="s">
        <v>28</v>
      </c>
      <c r="F263" s="2" t="s">
        <v>32</v>
      </c>
      <c r="G263" s="2" t="s">
        <v>53</v>
      </c>
      <c r="H263" s="2" t="s">
        <v>17</v>
      </c>
      <c r="I263" s="14">
        <v>929.14</v>
      </c>
      <c r="J263" s="9">
        <v>6</v>
      </c>
      <c r="K263" s="7">
        <v>0.1</v>
      </c>
      <c r="L263" s="15">
        <v>177.31</v>
      </c>
    </row>
    <row r="264" spans="1:12" x14ac:dyDescent="0.25">
      <c r="A264" s="2" t="s">
        <v>299</v>
      </c>
      <c r="B264" s="4">
        <v>45076</v>
      </c>
      <c r="C264" s="4">
        <v>45082</v>
      </c>
      <c r="D264" s="2" t="s">
        <v>19</v>
      </c>
      <c r="E264" s="2" t="s">
        <v>14</v>
      </c>
      <c r="F264" s="2" t="s">
        <v>15</v>
      </c>
      <c r="G264" s="2" t="s">
        <v>16</v>
      </c>
      <c r="H264" s="2" t="s">
        <v>40</v>
      </c>
      <c r="I264" s="14">
        <v>744.09</v>
      </c>
      <c r="J264" s="9">
        <v>4</v>
      </c>
      <c r="K264" s="7">
        <v>0.1</v>
      </c>
      <c r="L264" s="15">
        <v>47</v>
      </c>
    </row>
    <row r="265" spans="1:12" x14ac:dyDescent="0.25">
      <c r="A265" s="2" t="s">
        <v>300</v>
      </c>
      <c r="B265" s="4">
        <v>45064</v>
      </c>
      <c r="C265" s="4">
        <v>45065</v>
      </c>
      <c r="D265" s="2" t="s">
        <v>13</v>
      </c>
      <c r="E265" s="2" t="s">
        <v>20</v>
      </c>
      <c r="F265" s="2" t="s">
        <v>32</v>
      </c>
      <c r="G265" s="2" t="s">
        <v>33</v>
      </c>
      <c r="H265" s="2" t="s">
        <v>40</v>
      </c>
      <c r="I265" s="14">
        <v>605.84</v>
      </c>
      <c r="J265" s="9">
        <v>4</v>
      </c>
      <c r="K265" s="7">
        <v>0.15</v>
      </c>
      <c r="L265" s="15">
        <v>-52.17</v>
      </c>
    </row>
    <row r="266" spans="1:12" x14ac:dyDescent="0.25">
      <c r="A266" s="2" t="s">
        <v>301</v>
      </c>
      <c r="B266" s="4">
        <v>45129</v>
      </c>
      <c r="C266" s="4">
        <v>45131</v>
      </c>
      <c r="D266" s="2" t="s">
        <v>27</v>
      </c>
      <c r="E266" s="2" t="s">
        <v>43</v>
      </c>
      <c r="F266" s="2" t="s">
        <v>32</v>
      </c>
      <c r="G266" s="2" t="s">
        <v>39</v>
      </c>
      <c r="H266" s="2" t="s">
        <v>22</v>
      </c>
      <c r="I266" s="14">
        <v>478.89</v>
      </c>
      <c r="J266" s="9">
        <v>2</v>
      </c>
      <c r="K266" s="7">
        <v>0.1</v>
      </c>
      <c r="L266" s="15">
        <v>126.47</v>
      </c>
    </row>
    <row r="267" spans="1:12" x14ac:dyDescent="0.25">
      <c r="A267" s="2" t="s">
        <v>302</v>
      </c>
      <c r="B267" s="4">
        <v>45153</v>
      </c>
      <c r="C267" s="4">
        <v>45156</v>
      </c>
      <c r="D267" s="2" t="s">
        <v>19</v>
      </c>
      <c r="E267" s="2" t="s">
        <v>43</v>
      </c>
      <c r="F267" s="2" t="s">
        <v>15</v>
      </c>
      <c r="G267" s="2" t="s">
        <v>21</v>
      </c>
      <c r="H267" s="2" t="s">
        <v>40</v>
      </c>
      <c r="I267" s="14">
        <v>373.05</v>
      </c>
      <c r="J267" s="9">
        <v>4</v>
      </c>
      <c r="K267" s="7">
        <v>0.15</v>
      </c>
      <c r="L267" s="15">
        <v>18.29</v>
      </c>
    </row>
    <row r="268" spans="1:12" x14ac:dyDescent="0.25">
      <c r="A268" s="2" t="s">
        <v>303</v>
      </c>
      <c r="B268" s="4">
        <v>45116</v>
      </c>
      <c r="C268" s="4">
        <v>45122</v>
      </c>
      <c r="D268" s="2" t="s">
        <v>27</v>
      </c>
      <c r="E268" s="2" t="s">
        <v>24</v>
      </c>
      <c r="F268" s="2" t="s">
        <v>15</v>
      </c>
      <c r="G268" s="2" t="s">
        <v>21</v>
      </c>
      <c r="H268" s="2" t="s">
        <v>17</v>
      </c>
      <c r="I268" s="14">
        <v>984.5</v>
      </c>
      <c r="J268" s="9">
        <v>1</v>
      </c>
      <c r="K268" s="7">
        <v>0.15</v>
      </c>
      <c r="L268" s="15">
        <v>195.07</v>
      </c>
    </row>
    <row r="269" spans="1:12" x14ac:dyDescent="0.25">
      <c r="A269" s="2" t="s">
        <v>304</v>
      </c>
      <c r="B269" s="4">
        <v>45105</v>
      </c>
      <c r="C269" s="4">
        <v>45110</v>
      </c>
      <c r="D269" s="2" t="s">
        <v>19</v>
      </c>
      <c r="E269" s="2" t="s">
        <v>14</v>
      </c>
      <c r="F269" s="2" t="s">
        <v>15</v>
      </c>
      <c r="G269" s="2" t="s">
        <v>25</v>
      </c>
      <c r="H269" s="2" t="s">
        <v>40</v>
      </c>
      <c r="I269" s="14">
        <v>209.11</v>
      </c>
      <c r="J269" s="9">
        <v>5</v>
      </c>
      <c r="K269" s="7">
        <v>0.15</v>
      </c>
      <c r="L269" s="15">
        <v>8.4700000000000006</v>
      </c>
    </row>
    <row r="270" spans="1:12" x14ac:dyDescent="0.25">
      <c r="A270" s="2" t="s">
        <v>305</v>
      </c>
      <c r="B270" s="4">
        <v>44959</v>
      </c>
      <c r="C270" s="4">
        <v>44966</v>
      </c>
      <c r="D270" s="2" t="s">
        <v>13</v>
      </c>
      <c r="E270" s="2" t="s">
        <v>28</v>
      </c>
      <c r="F270" s="2" t="s">
        <v>35</v>
      </c>
      <c r="G270" s="2" t="s">
        <v>36</v>
      </c>
      <c r="H270" s="2" t="s">
        <v>17</v>
      </c>
      <c r="I270" s="14">
        <v>792.28</v>
      </c>
      <c r="J270" s="9">
        <v>9</v>
      </c>
      <c r="K270" s="7">
        <v>0.15</v>
      </c>
      <c r="L270" s="15">
        <v>-14.79</v>
      </c>
    </row>
    <row r="271" spans="1:12" x14ac:dyDescent="0.25">
      <c r="A271" s="2" t="s">
        <v>306</v>
      </c>
      <c r="B271" s="4">
        <v>45287</v>
      </c>
      <c r="C271" s="4">
        <v>45291</v>
      </c>
      <c r="D271" s="2" t="s">
        <v>27</v>
      </c>
      <c r="E271" s="2" t="s">
        <v>24</v>
      </c>
      <c r="F271" s="2" t="s">
        <v>15</v>
      </c>
      <c r="G271" s="2" t="s">
        <v>16</v>
      </c>
      <c r="H271" s="2" t="s">
        <v>40</v>
      </c>
      <c r="I271" s="14">
        <v>117.29</v>
      </c>
      <c r="J271" s="9">
        <v>7</v>
      </c>
      <c r="K271" s="7">
        <v>0.3</v>
      </c>
      <c r="L271" s="15">
        <v>-10.06</v>
      </c>
    </row>
    <row r="272" spans="1:12" x14ac:dyDescent="0.25">
      <c r="A272" s="2" t="s">
        <v>307</v>
      </c>
      <c r="B272" s="4">
        <v>45284</v>
      </c>
      <c r="C272" s="4">
        <v>45287</v>
      </c>
      <c r="D272" s="2" t="s">
        <v>19</v>
      </c>
      <c r="E272" s="2" t="s">
        <v>14</v>
      </c>
      <c r="F272" s="2" t="s">
        <v>35</v>
      </c>
      <c r="G272" s="2" t="s">
        <v>36</v>
      </c>
      <c r="H272" s="2" t="s">
        <v>40</v>
      </c>
      <c r="I272" s="14">
        <v>70.39</v>
      </c>
      <c r="J272" s="9">
        <v>4</v>
      </c>
      <c r="K272" s="7">
        <v>0.2</v>
      </c>
      <c r="L272" s="15">
        <v>-0.34</v>
      </c>
    </row>
    <row r="273" spans="1:12" x14ac:dyDescent="0.25">
      <c r="A273" s="2" t="s">
        <v>308</v>
      </c>
      <c r="B273" s="4">
        <v>45211</v>
      </c>
      <c r="C273" s="4">
        <v>45216</v>
      </c>
      <c r="D273" s="2" t="s">
        <v>13</v>
      </c>
      <c r="E273" s="2" t="s">
        <v>43</v>
      </c>
      <c r="F273" s="2" t="s">
        <v>32</v>
      </c>
      <c r="G273" s="2" t="s">
        <v>39</v>
      </c>
      <c r="H273" s="2" t="s">
        <v>22</v>
      </c>
      <c r="I273" s="14">
        <v>751.44</v>
      </c>
      <c r="J273" s="9">
        <v>3</v>
      </c>
      <c r="K273" s="7">
        <v>0</v>
      </c>
      <c r="L273" s="15">
        <v>178.25</v>
      </c>
    </row>
    <row r="274" spans="1:12" x14ac:dyDescent="0.25">
      <c r="A274" s="2" t="s">
        <v>309</v>
      </c>
      <c r="B274" s="4">
        <v>45142</v>
      </c>
      <c r="C274" s="4">
        <v>45146</v>
      </c>
      <c r="D274" s="2" t="s">
        <v>13</v>
      </c>
      <c r="E274" s="2" t="s">
        <v>43</v>
      </c>
      <c r="F274" s="2" t="s">
        <v>15</v>
      </c>
      <c r="G274" s="2" t="s">
        <v>21</v>
      </c>
      <c r="H274" s="2" t="s">
        <v>22</v>
      </c>
      <c r="I274" s="14">
        <v>104.88</v>
      </c>
      <c r="J274" s="9">
        <v>3</v>
      </c>
      <c r="K274" s="7">
        <v>0.2</v>
      </c>
      <c r="L274" s="15">
        <v>-15.43</v>
      </c>
    </row>
    <row r="275" spans="1:12" x14ac:dyDescent="0.25">
      <c r="A275" s="2" t="s">
        <v>310</v>
      </c>
      <c r="B275" s="4">
        <v>44971</v>
      </c>
      <c r="C275" s="4">
        <v>44976</v>
      </c>
      <c r="D275" s="2" t="s">
        <v>19</v>
      </c>
      <c r="E275" s="2" t="s">
        <v>20</v>
      </c>
      <c r="F275" s="2" t="s">
        <v>32</v>
      </c>
      <c r="G275" s="2" t="s">
        <v>39</v>
      </c>
      <c r="H275" s="2" t="s">
        <v>40</v>
      </c>
      <c r="I275" s="14">
        <v>689.16</v>
      </c>
      <c r="J275" s="9">
        <v>3</v>
      </c>
      <c r="K275" s="7">
        <v>0.15</v>
      </c>
      <c r="L275" s="15">
        <v>41.35</v>
      </c>
    </row>
    <row r="276" spans="1:12" x14ac:dyDescent="0.25">
      <c r="A276" s="2" t="s">
        <v>311</v>
      </c>
      <c r="B276" s="4">
        <v>45133</v>
      </c>
      <c r="C276" s="4">
        <v>45135</v>
      </c>
      <c r="D276" s="2" t="s">
        <v>13</v>
      </c>
      <c r="E276" s="2" t="s">
        <v>49</v>
      </c>
      <c r="F276" s="2" t="s">
        <v>15</v>
      </c>
      <c r="G276" s="2" t="s">
        <v>16</v>
      </c>
      <c r="H276" s="2" t="s">
        <v>40</v>
      </c>
      <c r="I276" s="14">
        <v>849.91</v>
      </c>
      <c r="J276" s="9">
        <v>1</v>
      </c>
      <c r="K276" s="7">
        <v>0</v>
      </c>
      <c r="L276" s="15">
        <v>0.66</v>
      </c>
    </row>
    <row r="277" spans="1:12" x14ac:dyDescent="0.25">
      <c r="A277" s="2" t="s">
        <v>312</v>
      </c>
      <c r="B277" s="4">
        <v>45258</v>
      </c>
      <c r="C277" s="4">
        <v>45259</v>
      </c>
      <c r="D277" s="2" t="s">
        <v>27</v>
      </c>
      <c r="E277" s="2" t="s">
        <v>43</v>
      </c>
      <c r="F277" s="2" t="s">
        <v>32</v>
      </c>
      <c r="G277" s="2" t="s">
        <v>53</v>
      </c>
      <c r="H277" s="2" t="s">
        <v>40</v>
      </c>
      <c r="I277" s="14">
        <v>667.67</v>
      </c>
      <c r="J277" s="9">
        <v>5</v>
      </c>
      <c r="K277" s="7">
        <v>0.3</v>
      </c>
      <c r="L277" s="15">
        <v>73.3</v>
      </c>
    </row>
    <row r="278" spans="1:12" x14ac:dyDescent="0.25">
      <c r="A278" s="2" t="s">
        <v>313</v>
      </c>
      <c r="B278" s="4">
        <v>45231</v>
      </c>
      <c r="C278" s="4">
        <v>45236</v>
      </c>
      <c r="D278" s="2" t="s">
        <v>30</v>
      </c>
      <c r="E278" s="2" t="s">
        <v>49</v>
      </c>
      <c r="F278" s="2" t="s">
        <v>35</v>
      </c>
      <c r="G278" s="2" t="s">
        <v>36</v>
      </c>
      <c r="H278" s="2" t="s">
        <v>40</v>
      </c>
      <c r="I278" s="14">
        <v>132.51</v>
      </c>
      <c r="J278" s="9">
        <v>6</v>
      </c>
      <c r="K278" s="7">
        <v>0.2</v>
      </c>
      <c r="L278" s="15">
        <v>-10.65</v>
      </c>
    </row>
    <row r="279" spans="1:12" x14ac:dyDescent="0.25">
      <c r="A279" s="2" t="s">
        <v>314</v>
      </c>
      <c r="B279" s="4">
        <v>45131</v>
      </c>
      <c r="C279" s="4">
        <v>45133</v>
      </c>
      <c r="D279" s="2" t="s">
        <v>13</v>
      </c>
      <c r="E279" s="2" t="s">
        <v>28</v>
      </c>
      <c r="F279" s="2" t="s">
        <v>32</v>
      </c>
      <c r="G279" s="2" t="s">
        <v>39</v>
      </c>
      <c r="H279" s="2" t="s">
        <v>17</v>
      </c>
      <c r="I279" s="14">
        <v>553.61</v>
      </c>
      <c r="J279" s="9">
        <v>8</v>
      </c>
      <c r="K279" s="7">
        <v>0.3</v>
      </c>
      <c r="L279" s="15">
        <v>-38.869999999999997</v>
      </c>
    </row>
    <row r="280" spans="1:12" x14ac:dyDescent="0.25">
      <c r="A280" s="2" t="s">
        <v>315</v>
      </c>
      <c r="B280" s="4">
        <v>45247</v>
      </c>
      <c r="C280" s="4">
        <v>45251</v>
      </c>
      <c r="D280" s="2" t="s">
        <v>30</v>
      </c>
      <c r="E280" s="2" t="s">
        <v>24</v>
      </c>
      <c r="F280" s="2" t="s">
        <v>15</v>
      </c>
      <c r="G280" s="2" t="s">
        <v>21</v>
      </c>
      <c r="H280" s="2" t="s">
        <v>40</v>
      </c>
      <c r="I280" s="14">
        <v>683.29</v>
      </c>
      <c r="J280" s="9">
        <v>7</v>
      </c>
      <c r="K280" s="7">
        <v>0.3</v>
      </c>
      <c r="L280" s="15">
        <v>33.79</v>
      </c>
    </row>
    <row r="281" spans="1:12" x14ac:dyDescent="0.25">
      <c r="A281" s="2" t="s">
        <v>316</v>
      </c>
      <c r="B281" s="4">
        <v>45232</v>
      </c>
      <c r="C281" s="4">
        <v>45237</v>
      </c>
      <c r="D281" s="2" t="s">
        <v>13</v>
      </c>
      <c r="E281" s="2" t="s">
        <v>28</v>
      </c>
      <c r="F281" s="2" t="s">
        <v>32</v>
      </c>
      <c r="G281" s="2" t="s">
        <v>39</v>
      </c>
      <c r="H281" s="2" t="s">
        <v>22</v>
      </c>
      <c r="I281" s="14">
        <v>207.06</v>
      </c>
      <c r="J281" s="9">
        <v>8</v>
      </c>
      <c r="K281" s="7">
        <v>0.1</v>
      </c>
      <c r="L281" s="15">
        <v>-1.19</v>
      </c>
    </row>
    <row r="282" spans="1:12" x14ac:dyDescent="0.25">
      <c r="A282" s="2" t="s">
        <v>317</v>
      </c>
      <c r="B282" s="4">
        <v>45175</v>
      </c>
      <c r="C282" s="4">
        <v>45176</v>
      </c>
      <c r="D282" s="2" t="s">
        <v>13</v>
      </c>
      <c r="E282" s="2" t="s">
        <v>28</v>
      </c>
      <c r="F282" s="2" t="s">
        <v>35</v>
      </c>
      <c r="G282" s="2" t="s">
        <v>46</v>
      </c>
      <c r="H282" s="2" t="s">
        <v>17</v>
      </c>
      <c r="I282" s="14">
        <v>267.26</v>
      </c>
      <c r="J282" s="9">
        <v>8</v>
      </c>
      <c r="K282" s="7">
        <v>0.3</v>
      </c>
      <c r="L282" s="15">
        <v>14.12</v>
      </c>
    </row>
    <row r="283" spans="1:12" x14ac:dyDescent="0.25">
      <c r="A283" s="2" t="s">
        <v>318</v>
      </c>
      <c r="B283" s="4">
        <v>44933</v>
      </c>
      <c r="C283" s="4">
        <v>44939</v>
      </c>
      <c r="D283" s="2" t="s">
        <v>19</v>
      </c>
      <c r="E283" s="2" t="s">
        <v>49</v>
      </c>
      <c r="F283" s="2" t="s">
        <v>32</v>
      </c>
      <c r="G283" s="2" t="s">
        <v>53</v>
      </c>
      <c r="H283" s="2" t="s">
        <v>22</v>
      </c>
      <c r="I283" s="14">
        <v>128.54</v>
      </c>
      <c r="J283" s="9">
        <v>2</v>
      </c>
      <c r="K283" s="7">
        <v>0.3</v>
      </c>
      <c r="L283" s="15">
        <v>-3.37</v>
      </c>
    </row>
    <row r="284" spans="1:12" x14ac:dyDescent="0.25">
      <c r="A284" s="2" t="s">
        <v>319</v>
      </c>
      <c r="B284" s="4">
        <v>45201</v>
      </c>
      <c r="C284" s="4">
        <v>45204</v>
      </c>
      <c r="D284" s="2" t="s">
        <v>13</v>
      </c>
      <c r="E284" s="2" t="s">
        <v>14</v>
      </c>
      <c r="F284" s="2" t="s">
        <v>35</v>
      </c>
      <c r="G284" s="2" t="s">
        <v>46</v>
      </c>
      <c r="H284" s="2" t="s">
        <v>22</v>
      </c>
      <c r="I284" s="14">
        <v>541.67999999999995</v>
      </c>
      <c r="J284" s="9">
        <v>1</v>
      </c>
      <c r="K284" s="7">
        <v>0</v>
      </c>
      <c r="L284" s="15">
        <v>123.53</v>
      </c>
    </row>
    <row r="285" spans="1:12" x14ac:dyDescent="0.25">
      <c r="A285" s="2" t="s">
        <v>320</v>
      </c>
      <c r="B285" s="4">
        <v>45260</v>
      </c>
      <c r="C285" s="4">
        <v>45265</v>
      </c>
      <c r="D285" s="2" t="s">
        <v>19</v>
      </c>
      <c r="E285" s="2" t="s">
        <v>24</v>
      </c>
      <c r="F285" s="2" t="s">
        <v>35</v>
      </c>
      <c r="G285" s="2" t="s">
        <v>62</v>
      </c>
      <c r="H285" s="2" t="s">
        <v>40</v>
      </c>
      <c r="I285" s="14">
        <v>749.46</v>
      </c>
      <c r="J285" s="9">
        <v>3</v>
      </c>
      <c r="K285" s="7">
        <v>0.15</v>
      </c>
      <c r="L285" s="15">
        <v>144.91999999999999</v>
      </c>
    </row>
    <row r="286" spans="1:12" x14ac:dyDescent="0.25">
      <c r="A286" s="2" t="s">
        <v>321</v>
      </c>
      <c r="B286" s="4">
        <v>45264</v>
      </c>
      <c r="C286" s="4">
        <v>45270</v>
      </c>
      <c r="D286" s="2" t="s">
        <v>30</v>
      </c>
      <c r="E286" s="2" t="s">
        <v>14</v>
      </c>
      <c r="F286" s="2" t="s">
        <v>32</v>
      </c>
      <c r="G286" s="2" t="s">
        <v>39</v>
      </c>
      <c r="H286" s="2" t="s">
        <v>17</v>
      </c>
      <c r="I286" s="14">
        <v>33.57</v>
      </c>
      <c r="J286" s="9">
        <v>4</v>
      </c>
      <c r="K286" s="7">
        <v>0.2</v>
      </c>
      <c r="L286" s="15">
        <v>-1.8</v>
      </c>
    </row>
    <row r="287" spans="1:12" x14ac:dyDescent="0.25">
      <c r="A287" s="2" t="s">
        <v>322</v>
      </c>
      <c r="B287" s="4">
        <v>45135</v>
      </c>
      <c r="C287" s="4">
        <v>45139</v>
      </c>
      <c r="D287" s="2" t="s">
        <v>27</v>
      </c>
      <c r="E287" s="2" t="s">
        <v>43</v>
      </c>
      <c r="F287" s="2" t="s">
        <v>35</v>
      </c>
      <c r="G287" s="2" t="s">
        <v>36</v>
      </c>
      <c r="H287" s="2" t="s">
        <v>40</v>
      </c>
      <c r="I287" s="14">
        <v>200.16</v>
      </c>
      <c r="J287" s="9">
        <v>8</v>
      </c>
      <c r="K287" s="7">
        <v>0.2</v>
      </c>
      <c r="L287" s="15">
        <v>-16.86</v>
      </c>
    </row>
    <row r="288" spans="1:12" x14ac:dyDescent="0.25">
      <c r="A288" s="2" t="s">
        <v>323</v>
      </c>
      <c r="B288" s="4">
        <v>45082</v>
      </c>
      <c r="C288" s="4">
        <v>45089</v>
      </c>
      <c r="D288" s="2" t="s">
        <v>27</v>
      </c>
      <c r="E288" s="2" t="s">
        <v>28</v>
      </c>
      <c r="F288" s="2" t="s">
        <v>35</v>
      </c>
      <c r="G288" s="2" t="s">
        <v>36</v>
      </c>
      <c r="H288" s="2" t="s">
        <v>40</v>
      </c>
      <c r="I288" s="14">
        <v>525.54</v>
      </c>
      <c r="J288" s="9">
        <v>1</v>
      </c>
      <c r="K288" s="7">
        <v>0.15</v>
      </c>
      <c r="L288" s="15">
        <v>47.6</v>
      </c>
    </row>
    <row r="289" spans="1:12" x14ac:dyDescent="0.25">
      <c r="A289" s="2" t="s">
        <v>324</v>
      </c>
      <c r="B289" s="4">
        <v>45087</v>
      </c>
      <c r="C289" s="4">
        <v>45089</v>
      </c>
      <c r="D289" s="2" t="s">
        <v>13</v>
      </c>
      <c r="E289" s="2" t="s">
        <v>49</v>
      </c>
      <c r="F289" s="2" t="s">
        <v>32</v>
      </c>
      <c r="G289" s="2" t="s">
        <v>39</v>
      </c>
      <c r="H289" s="2" t="s">
        <v>17</v>
      </c>
      <c r="I289" s="14">
        <v>198.07</v>
      </c>
      <c r="J289" s="9">
        <v>6</v>
      </c>
      <c r="K289" s="7">
        <v>0</v>
      </c>
      <c r="L289" s="15">
        <v>52.94</v>
      </c>
    </row>
    <row r="290" spans="1:12" x14ac:dyDescent="0.25">
      <c r="A290" s="2" t="s">
        <v>325</v>
      </c>
      <c r="B290" s="4">
        <v>45000</v>
      </c>
      <c r="C290" s="4">
        <v>45001</v>
      </c>
      <c r="D290" s="2" t="s">
        <v>13</v>
      </c>
      <c r="E290" s="2" t="s">
        <v>20</v>
      </c>
      <c r="F290" s="2" t="s">
        <v>32</v>
      </c>
      <c r="G290" s="2" t="s">
        <v>53</v>
      </c>
      <c r="H290" s="2" t="s">
        <v>22</v>
      </c>
      <c r="I290" s="14">
        <v>450.72</v>
      </c>
      <c r="J290" s="9">
        <v>9</v>
      </c>
      <c r="K290" s="7">
        <v>0.1</v>
      </c>
      <c r="L290" s="15">
        <v>-40.659999999999997</v>
      </c>
    </row>
    <row r="291" spans="1:12" x14ac:dyDescent="0.25">
      <c r="A291" s="2" t="s">
        <v>326</v>
      </c>
      <c r="B291" s="4">
        <v>45217</v>
      </c>
      <c r="C291" s="4">
        <v>45218</v>
      </c>
      <c r="D291" s="2" t="s">
        <v>27</v>
      </c>
      <c r="E291" s="2" t="s">
        <v>24</v>
      </c>
      <c r="F291" s="2" t="s">
        <v>32</v>
      </c>
      <c r="G291" s="2" t="s">
        <v>39</v>
      </c>
      <c r="H291" s="2" t="s">
        <v>40</v>
      </c>
      <c r="I291" s="14">
        <v>959.41</v>
      </c>
      <c r="J291" s="9">
        <v>7</v>
      </c>
      <c r="K291" s="7">
        <v>0</v>
      </c>
      <c r="L291" s="15">
        <v>222.17</v>
      </c>
    </row>
    <row r="292" spans="1:12" x14ac:dyDescent="0.25">
      <c r="A292" s="2" t="s">
        <v>327</v>
      </c>
      <c r="B292" s="4">
        <v>45073</v>
      </c>
      <c r="C292" s="4">
        <v>45078</v>
      </c>
      <c r="D292" s="2" t="s">
        <v>27</v>
      </c>
      <c r="E292" s="2" t="s">
        <v>49</v>
      </c>
      <c r="F292" s="2" t="s">
        <v>35</v>
      </c>
      <c r="G292" s="2" t="s">
        <v>46</v>
      </c>
      <c r="H292" s="2" t="s">
        <v>40</v>
      </c>
      <c r="I292" s="14">
        <v>530.99</v>
      </c>
      <c r="J292" s="9">
        <v>8</v>
      </c>
      <c r="K292" s="7">
        <v>0.15</v>
      </c>
      <c r="L292" s="15">
        <v>72.36</v>
      </c>
    </row>
    <row r="293" spans="1:12" x14ac:dyDescent="0.25">
      <c r="A293" s="2" t="s">
        <v>328</v>
      </c>
      <c r="B293" s="4">
        <v>44959</v>
      </c>
      <c r="C293" s="4">
        <v>44961</v>
      </c>
      <c r="D293" s="2" t="s">
        <v>13</v>
      </c>
      <c r="E293" s="2" t="s">
        <v>20</v>
      </c>
      <c r="F293" s="2" t="s">
        <v>32</v>
      </c>
      <c r="G293" s="2" t="s">
        <v>53</v>
      </c>
      <c r="H293" s="2" t="s">
        <v>22</v>
      </c>
      <c r="I293" s="14">
        <v>647.02</v>
      </c>
      <c r="J293" s="9">
        <v>4</v>
      </c>
      <c r="K293" s="7">
        <v>0</v>
      </c>
      <c r="L293" s="15">
        <v>-41.5</v>
      </c>
    </row>
    <row r="294" spans="1:12" x14ac:dyDescent="0.25">
      <c r="A294" s="2" t="s">
        <v>329</v>
      </c>
      <c r="B294" s="4">
        <v>45261</v>
      </c>
      <c r="C294" s="4">
        <v>45266</v>
      </c>
      <c r="D294" s="2" t="s">
        <v>27</v>
      </c>
      <c r="E294" s="2" t="s">
        <v>28</v>
      </c>
      <c r="F294" s="2" t="s">
        <v>32</v>
      </c>
      <c r="G294" s="2" t="s">
        <v>53</v>
      </c>
      <c r="H294" s="2" t="s">
        <v>40</v>
      </c>
      <c r="I294" s="14">
        <v>540.08000000000004</v>
      </c>
      <c r="J294" s="9">
        <v>6</v>
      </c>
      <c r="K294" s="7">
        <v>0</v>
      </c>
      <c r="L294" s="15">
        <v>-9.7100000000000009</v>
      </c>
    </row>
    <row r="295" spans="1:12" x14ac:dyDescent="0.25">
      <c r="A295" s="2" t="s">
        <v>330</v>
      </c>
      <c r="B295" s="4">
        <v>44945</v>
      </c>
      <c r="C295" s="4">
        <v>44950</v>
      </c>
      <c r="D295" s="2" t="s">
        <v>30</v>
      </c>
      <c r="E295" s="2" t="s">
        <v>20</v>
      </c>
      <c r="F295" s="2" t="s">
        <v>35</v>
      </c>
      <c r="G295" s="2" t="s">
        <v>62</v>
      </c>
      <c r="H295" s="2" t="s">
        <v>22</v>
      </c>
      <c r="I295" s="14">
        <v>721.25</v>
      </c>
      <c r="J295" s="9">
        <v>9</v>
      </c>
      <c r="K295" s="7">
        <v>0.3</v>
      </c>
      <c r="L295" s="15">
        <v>-43.86</v>
      </c>
    </row>
    <row r="296" spans="1:12" x14ac:dyDescent="0.25">
      <c r="A296" s="2" t="s">
        <v>331</v>
      </c>
      <c r="B296" s="4">
        <v>45113</v>
      </c>
      <c r="C296" s="4">
        <v>45118</v>
      </c>
      <c r="D296" s="2" t="s">
        <v>27</v>
      </c>
      <c r="E296" s="2" t="s">
        <v>28</v>
      </c>
      <c r="F296" s="2" t="s">
        <v>15</v>
      </c>
      <c r="G296" s="2" t="s">
        <v>16</v>
      </c>
      <c r="H296" s="2" t="s">
        <v>22</v>
      </c>
      <c r="I296" s="14">
        <v>866.58</v>
      </c>
      <c r="J296" s="9">
        <v>7</v>
      </c>
      <c r="K296" s="7">
        <v>0</v>
      </c>
      <c r="L296" s="15">
        <v>-16.760000000000002</v>
      </c>
    </row>
    <row r="297" spans="1:12" x14ac:dyDescent="0.25">
      <c r="A297" s="2" t="s">
        <v>332</v>
      </c>
      <c r="B297" s="4">
        <v>45186</v>
      </c>
      <c r="C297" s="4">
        <v>45187</v>
      </c>
      <c r="D297" s="2" t="s">
        <v>27</v>
      </c>
      <c r="E297" s="2" t="s">
        <v>28</v>
      </c>
      <c r="F297" s="2" t="s">
        <v>35</v>
      </c>
      <c r="G297" s="2" t="s">
        <v>62</v>
      </c>
      <c r="H297" s="2" t="s">
        <v>22</v>
      </c>
      <c r="I297" s="14">
        <v>858.95</v>
      </c>
      <c r="J297" s="9">
        <v>7</v>
      </c>
      <c r="K297" s="7">
        <v>0.3</v>
      </c>
      <c r="L297" s="15">
        <v>-47.85</v>
      </c>
    </row>
    <row r="298" spans="1:12" x14ac:dyDescent="0.25">
      <c r="A298" s="2" t="s">
        <v>333</v>
      </c>
      <c r="B298" s="4">
        <v>44929</v>
      </c>
      <c r="C298" s="4">
        <v>44934</v>
      </c>
      <c r="D298" s="2" t="s">
        <v>27</v>
      </c>
      <c r="E298" s="2" t="s">
        <v>49</v>
      </c>
      <c r="F298" s="2" t="s">
        <v>35</v>
      </c>
      <c r="G298" s="2" t="s">
        <v>62</v>
      </c>
      <c r="H298" s="2" t="s">
        <v>22</v>
      </c>
      <c r="I298" s="14">
        <v>531.5</v>
      </c>
      <c r="J298" s="9">
        <v>3</v>
      </c>
      <c r="K298" s="7">
        <v>0</v>
      </c>
      <c r="L298" s="15">
        <v>62.96</v>
      </c>
    </row>
    <row r="299" spans="1:12" x14ac:dyDescent="0.25">
      <c r="A299" s="2" t="s">
        <v>334</v>
      </c>
      <c r="B299" s="4">
        <v>45056</v>
      </c>
      <c r="C299" s="4">
        <v>45058</v>
      </c>
      <c r="D299" s="2" t="s">
        <v>30</v>
      </c>
      <c r="E299" s="2" t="s">
        <v>20</v>
      </c>
      <c r="F299" s="2" t="s">
        <v>15</v>
      </c>
      <c r="G299" s="2" t="s">
        <v>25</v>
      </c>
      <c r="H299" s="2" t="s">
        <v>17</v>
      </c>
      <c r="I299" s="14">
        <v>634.46</v>
      </c>
      <c r="J299" s="9">
        <v>8</v>
      </c>
      <c r="K299" s="7">
        <v>0</v>
      </c>
      <c r="L299" s="15">
        <v>-35.049999999999997</v>
      </c>
    </row>
    <row r="300" spans="1:12" x14ac:dyDescent="0.25">
      <c r="A300" s="2" t="s">
        <v>335</v>
      </c>
      <c r="B300" s="4">
        <v>45088</v>
      </c>
      <c r="C300" s="4">
        <v>45094</v>
      </c>
      <c r="D300" s="2" t="s">
        <v>13</v>
      </c>
      <c r="E300" s="2" t="s">
        <v>49</v>
      </c>
      <c r="F300" s="2" t="s">
        <v>32</v>
      </c>
      <c r="G300" s="2" t="s">
        <v>53</v>
      </c>
      <c r="H300" s="2" t="s">
        <v>40</v>
      </c>
      <c r="I300" s="14">
        <v>539.04</v>
      </c>
      <c r="J300" s="9">
        <v>2</v>
      </c>
      <c r="K300" s="7">
        <v>0.1</v>
      </c>
      <c r="L300" s="15">
        <v>61.94</v>
      </c>
    </row>
    <row r="301" spans="1:12" x14ac:dyDescent="0.25">
      <c r="A301" s="2" t="s">
        <v>336</v>
      </c>
      <c r="B301" s="4">
        <v>45021</v>
      </c>
      <c r="C301" s="4">
        <v>45027</v>
      </c>
      <c r="D301" s="2" t="s">
        <v>27</v>
      </c>
      <c r="E301" s="2" t="s">
        <v>49</v>
      </c>
      <c r="F301" s="2" t="s">
        <v>35</v>
      </c>
      <c r="G301" s="2" t="s">
        <v>62</v>
      </c>
      <c r="H301" s="2" t="s">
        <v>40</v>
      </c>
      <c r="I301" s="14">
        <v>940.19</v>
      </c>
      <c r="J301" s="9">
        <v>6</v>
      </c>
      <c r="K301" s="7">
        <v>0.1</v>
      </c>
      <c r="L301" s="15">
        <v>-35.06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Superstore_Dataset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S0840923</cp:lastModifiedBy>
  <cp:lastPrinted>2026-06-07T14:01:19Z</cp:lastPrinted>
  <dcterms:created xsi:type="dcterms:W3CDTF">2026-03-02T04:23:33Z</dcterms:created>
  <dcterms:modified xsi:type="dcterms:W3CDTF">2026-06-07T17:35:39Z</dcterms:modified>
</cp:coreProperties>
</file>